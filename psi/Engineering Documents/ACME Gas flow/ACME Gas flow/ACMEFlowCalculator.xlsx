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5" yWindow="225" windowWidth="21900" windowHeight="11130"/>
  </bookViews>
  <sheets>
    <sheet name="Calculator" sheetId="1" r:id="rId1"/>
    <sheet name="HeaderTables" sheetId="2" r:id="rId2"/>
    <sheet name="Tables" sheetId="3" r:id="rId3"/>
  </sheets>
  <calcPr calcId="145621"/>
</workbook>
</file>

<file path=xl/calcChain.xml><?xml version="1.0" encoding="utf-8"?>
<calcChain xmlns="http://schemas.openxmlformats.org/spreadsheetml/2006/main">
  <c r="H11" i="1" l="1"/>
  <c r="E5" i="1" s="1"/>
  <c r="H10" i="1"/>
  <c r="H9" i="1"/>
  <c r="H8" i="1"/>
  <c r="H7" i="1"/>
  <c r="F43" i="3"/>
  <c r="F42" i="3"/>
  <c r="F41" i="3"/>
  <c r="F40" i="3"/>
  <c r="H39" i="3"/>
  <c r="F39" i="3"/>
  <c r="B32" i="3"/>
  <c r="K28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C5" i="1" l="1"/>
  <c r="C13" i="1"/>
  <c r="E4" i="1"/>
  <c r="C4" i="1" s="1"/>
  <c r="E3" i="1"/>
  <c r="C3" i="1" s="1"/>
  <c r="H3" i="1"/>
  <c r="C12" i="1" l="1"/>
  <c r="C11" i="1"/>
</calcChain>
</file>

<file path=xl/sharedStrings.xml><?xml version="1.0" encoding="utf-8"?>
<sst xmlns="http://schemas.openxmlformats.org/spreadsheetml/2006/main" count="214" uniqueCount="137">
  <si>
    <t>Coflow/MFCA1</t>
  </si>
  <si>
    <t>Fuel/MFCA3</t>
  </si>
  <si>
    <t>SLPM (N2)</t>
  </si>
  <si>
    <t>Velocity cm/s</t>
  </si>
  <si>
    <t>seconds/min</t>
  </si>
  <si>
    <t>cm3 / liter</t>
  </si>
  <si>
    <t>cm2 / m2</t>
  </si>
  <si>
    <t>Outer Coflow Area [m2]</t>
  </si>
  <si>
    <t>Temperature [C]</t>
  </si>
  <si>
    <t>Temperature Factor</t>
  </si>
  <si>
    <t>Oxygen/Nitrogen (21/79)</t>
  </si>
  <si>
    <t>Constants:</t>
  </si>
  <si>
    <t>Methane/Nitrogen (40/60)</t>
  </si>
  <si>
    <t>Convert from velocity to SLPM (N2)</t>
  </si>
  <si>
    <t>Convert From SLPM (N2) to velocity</t>
  </si>
  <si>
    <t>Conv Factor</t>
  </si>
  <si>
    <t>Experiment Type</t>
  </si>
  <si>
    <t>Flame Design</t>
  </si>
  <si>
    <t>Coflow</t>
  </si>
  <si>
    <t>S-Flame</t>
  </si>
  <si>
    <t>E-Field</t>
  </si>
  <si>
    <t>BRE</t>
  </si>
  <si>
    <t>MFCA1 Gas Type</t>
  </si>
  <si>
    <t>Oxygen/Nitrogen (30/70)</t>
  </si>
  <si>
    <t>Oxygen/Nitrogen (40/60)</t>
  </si>
  <si>
    <t>Oxygen/Nitrogen (85/15)</t>
  </si>
  <si>
    <t>Oxygen/Helium (30/70)</t>
  </si>
  <si>
    <t>MFCA2 Gas Type</t>
  </si>
  <si>
    <t>Nitrogen</t>
  </si>
  <si>
    <t>Helium</t>
  </si>
  <si>
    <t>MFCA3 Gas Type</t>
  </si>
  <si>
    <t>Methane</t>
  </si>
  <si>
    <t>Methane/Nitrogen (30/70)</t>
  </si>
  <si>
    <t>Methane/Nitrogen (45/55)</t>
  </si>
  <si>
    <t>Ethylene</t>
  </si>
  <si>
    <t>Ethylene/Nitrogen (30/70)</t>
  </si>
  <si>
    <t>Ethylene/Nitrogen (50/50)</t>
  </si>
  <si>
    <t>Hydrogen</t>
  </si>
  <si>
    <t>Hydrogen/Methane (44.4/55.6)</t>
  </si>
  <si>
    <t>Hydrogen/Methane (55.6/44.4)</t>
  </si>
  <si>
    <t>Hydrogen/Methane (66.7/33.3)</t>
  </si>
  <si>
    <t>Hydrogen/Methane/Helium (20/25/55)</t>
  </si>
  <si>
    <t>Hydrogen/Methane/Helium (25/20/55)</t>
  </si>
  <si>
    <t>Hydrogen/Methane/Helium (30/15/55)</t>
  </si>
  <si>
    <t>Hydrogen/Helium (45/55)</t>
  </si>
  <si>
    <t>Methane/Helium (45/55)</t>
  </si>
  <si>
    <t>Ethylene/Helium (20/80)</t>
  </si>
  <si>
    <t>Ethylene/Helium (25/75)</t>
  </si>
  <si>
    <t>Ethylene/Helium (30/70)</t>
  </si>
  <si>
    <t>EField Config</t>
  </si>
  <si>
    <t>Mesh Removed</t>
  </si>
  <si>
    <t>Mesh in 35 mm position</t>
  </si>
  <si>
    <t>Mesh in 40 mm position</t>
  </si>
  <si>
    <t>EField Polarity</t>
  </si>
  <si>
    <t>Not installed</t>
  </si>
  <si>
    <t>Negative</t>
  </si>
  <si>
    <t>Positive</t>
  </si>
  <si>
    <t>Igniter Arm  Position</t>
  </si>
  <si>
    <t>0 mm</t>
  </si>
  <si>
    <t>10 mm</t>
  </si>
  <si>
    <t>30 mm</t>
  </si>
  <si>
    <t>Burner Type</t>
  </si>
  <si>
    <t>Spherical (1/4")</t>
  </si>
  <si>
    <t>Spherical (3/8")</t>
  </si>
  <si>
    <t>Spherical (1/2")</t>
  </si>
  <si>
    <t>Gas Jet(1.3mm)</t>
  </si>
  <si>
    <t xml:space="preserve"> 10 mm position</t>
  </si>
  <si>
    <t>Gas Jet(2.1mm)</t>
  </si>
  <si>
    <t>BRE (25mm)</t>
  </si>
  <si>
    <t>BRE (50mm)</t>
  </si>
  <si>
    <t>Thermocouple Array</t>
  </si>
  <si>
    <t>Near</t>
  </si>
  <si>
    <t>Far</t>
  </si>
  <si>
    <t>Removed</t>
  </si>
  <si>
    <t>Radiometer</t>
  </si>
  <si>
    <t>Standard</t>
  </si>
  <si>
    <t>IPSU Use</t>
  </si>
  <si>
    <t>No</t>
  </si>
  <si>
    <t>Yes</t>
  </si>
  <si>
    <t>Fiber</t>
  </si>
  <si>
    <t>Installed</t>
  </si>
  <si>
    <t>Enum</t>
  </si>
  <si>
    <t>Name</t>
  </si>
  <si>
    <t>Gas Bottle</t>
  </si>
  <si>
    <t>Manifold</t>
  </si>
  <si>
    <t>First Gas</t>
  </si>
  <si>
    <t>Second Gas</t>
  </si>
  <si>
    <t>Third Gas</t>
  </si>
  <si>
    <t>Mixture Gas</t>
  </si>
  <si>
    <t>Conc</t>
  </si>
  <si>
    <t>GCF</t>
  </si>
  <si>
    <t>Correction Factor</t>
  </si>
  <si>
    <t>CH4 100%</t>
  </si>
  <si>
    <t>4 - Fuel</t>
  </si>
  <si>
    <t>CH4/N2 30/70%</t>
  </si>
  <si>
    <t>CH4/N2 40/60%</t>
  </si>
  <si>
    <t>CH4/N2 45/55%</t>
  </si>
  <si>
    <t>C2H4 100%</t>
  </si>
  <si>
    <t>C2H4/N2 30/70%</t>
  </si>
  <si>
    <t>C2H4/N2 50/50%</t>
  </si>
  <si>
    <t>H2 100%</t>
  </si>
  <si>
    <t>H2/CH4 44.4/55.6%</t>
  </si>
  <si>
    <t>H2/CH4 55.6/44.4%</t>
  </si>
  <si>
    <t>H2/CH4 66.7/33.3%</t>
  </si>
  <si>
    <t>H2/CH4/He 20/25/55%</t>
  </si>
  <si>
    <t>H2/CH4/He 25/20/55%</t>
  </si>
  <si>
    <t>H2/CH4/He 30/15/55%</t>
  </si>
  <si>
    <t>H2/He 45/55%</t>
  </si>
  <si>
    <t>CH4/He 45/55%</t>
  </si>
  <si>
    <t>C2H4/He 20/80%</t>
  </si>
  <si>
    <t>C2H4/He 25/75%</t>
  </si>
  <si>
    <t>C2H4/He 30/70%</t>
  </si>
  <si>
    <t>O2/N2 21/79%</t>
  </si>
  <si>
    <t>2 - Oxygen</t>
  </si>
  <si>
    <t>O2/N2 30/70%</t>
  </si>
  <si>
    <t>O2/N2 40/60%</t>
  </si>
  <si>
    <t>O2/N2 85/15%</t>
  </si>
  <si>
    <t>O2/He 30/70%</t>
  </si>
  <si>
    <t>N2 100%</t>
  </si>
  <si>
    <t>1 - Diluent</t>
  </si>
  <si>
    <t>He 100%</t>
  </si>
  <si>
    <t>99 means n/a</t>
  </si>
  <si>
    <t>Temperature C</t>
  </si>
  <si>
    <t>BRE 25mm</t>
  </si>
  <si>
    <t>Inner</t>
  </si>
  <si>
    <t>Outer</t>
  </si>
  <si>
    <t>BRE 50mm</t>
  </si>
  <si>
    <t>Choose:</t>
  </si>
  <si>
    <t>Dilution/MFCA2</t>
  </si>
  <si>
    <t>Coflow/MFCA1 Gas T ype</t>
  </si>
  <si>
    <t>Dilution/MFCA2 Gas Type</t>
  </si>
  <si>
    <t>Fuel/MFCA3 Gas Type</t>
  </si>
  <si>
    <t>Burner area [m2]</t>
  </si>
  <si>
    <t>Coflow Gas Correction Factor</t>
  </si>
  <si>
    <t>Dilution Gas Correction Factor</t>
  </si>
  <si>
    <t>Fuel Gas Correction Factor</t>
  </si>
  <si>
    <t>Burner Areas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</si>
</sst>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000E+00"/>
    <numFmt numFmtId="165" formatCode="0.0000000"/>
    <numFmt numFmtId="166" formatCode="0.0000"/>
    <numFmt numFmtId="167" formatCode="0.00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164" fontId="0" fillId="0" borderId="0" xfId="0" applyNumberFormat="1" applyBorder="1"/>
    <xf numFmtId="165" fontId="0" fillId="0" borderId="0" xfId="0" applyNumberFormat="1"/>
    <xf numFmtId="165" fontId="0" fillId="0" borderId="0" xfId="0" applyNumberFormat="1" applyBorder="1"/>
    <xf numFmtId="166" fontId="0" fillId="0" borderId="0" xfId="0" applyNumberFormat="1"/>
    <xf numFmtId="0" fontId="0" fillId="2" borderId="0" xfId="0" applyFill="1"/>
    <xf numFmtId="0" fontId="2" fillId="0" borderId="2" xfId="0" applyFont="1" applyBorder="1"/>
    <xf numFmtId="0" fontId="0" fillId="0" borderId="3" xfId="0" applyBorder="1"/>
    <xf numFmtId="166" fontId="0" fillId="0" borderId="4" xfId="0" applyNumberFormat="1" applyBorder="1"/>
    <xf numFmtId="0" fontId="0" fillId="0" borderId="5" xfId="0" applyBorder="1"/>
    <xf numFmtId="166" fontId="0" fillId="0" borderId="1" xfId="0" applyNumberFormat="1" applyBorder="1"/>
    <xf numFmtId="0" fontId="0" fillId="2" borderId="0" xfId="0" applyFill="1" applyBorder="1"/>
    <xf numFmtId="0" fontId="0" fillId="0" borderId="6" xfId="0" applyBorder="1"/>
    <xf numFmtId="0" fontId="0" fillId="2" borderId="7" xfId="0" applyFill="1" applyBorder="1"/>
    <xf numFmtId="0" fontId="2" fillId="0" borderId="0" xfId="0" applyFont="1" applyBorder="1"/>
    <xf numFmtId="166" fontId="0" fillId="0" borderId="0" xfId="0" applyNumberFormat="1" applyBorder="1"/>
    <xf numFmtId="0" fontId="2" fillId="0" borderId="0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5" xfId="0" applyBorder="1"/>
    <xf numFmtId="0" fontId="2" fillId="0" borderId="16" xfId="0" applyFont="1" applyBorder="1"/>
    <xf numFmtId="0" fontId="0" fillId="0" borderId="17" xfId="0" applyBorder="1"/>
    <xf numFmtId="0" fontId="0" fillId="0" borderId="8" xfId="0" applyBorder="1"/>
    <xf numFmtId="0" fontId="2" fillId="0" borderId="7" xfId="0" applyFont="1" applyBorder="1"/>
    <xf numFmtId="0" fontId="2" fillId="0" borderId="18" xfId="0" applyFont="1" applyBorder="1"/>
    <xf numFmtId="0" fontId="2" fillId="0" borderId="19" xfId="0" applyFont="1" applyFill="1" applyBorder="1"/>
    <xf numFmtId="0" fontId="0" fillId="0" borderId="20" xfId="0" applyFill="1" applyBorder="1"/>
    <xf numFmtId="0" fontId="0" fillId="0" borderId="1" xfId="0" applyFill="1" applyBorder="1"/>
    <xf numFmtId="0" fontId="0" fillId="0" borderId="10" xfId="0" applyBorder="1"/>
    <xf numFmtId="0" fontId="0" fillId="0" borderId="10" xfId="0" applyFill="1" applyBorder="1"/>
    <xf numFmtId="0" fontId="0" fillId="0" borderId="21" xfId="0" applyBorder="1"/>
    <xf numFmtId="0" fontId="1" fillId="0" borderId="10" xfId="0" applyFont="1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9" xfId="0" applyBorder="1"/>
    <xf numFmtId="0" fontId="0" fillId="0" borderId="9" xfId="0" applyFill="1" applyBorder="1"/>
    <xf numFmtId="0" fontId="0" fillId="0" borderId="25" xfId="0" applyBorder="1"/>
    <xf numFmtId="0" fontId="0" fillId="0" borderId="26" xfId="0" applyFill="1" applyBorder="1"/>
    <xf numFmtId="0" fontId="0" fillId="0" borderId="27" xfId="0" applyFill="1" applyBorder="1"/>
    <xf numFmtId="0" fontId="0" fillId="0" borderId="28" xfId="0" applyFill="1" applyBorder="1"/>
    <xf numFmtId="0" fontId="0" fillId="0" borderId="11" xfId="0" applyBorder="1"/>
    <xf numFmtId="0" fontId="0" fillId="0" borderId="28" xfId="0" applyBorder="1"/>
    <xf numFmtId="0" fontId="0" fillId="0" borderId="11" xfId="0" applyFill="1" applyBorder="1"/>
    <xf numFmtId="0" fontId="0" fillId="0" borderId="29" xfId="0" applyBorder="1"/>
    <xf numFmtId="0" fontId="0" fillId="0" borderId="30" xfId="0" applyFill="1" applyBorder="1"/>
    <xf numFmtId="0" fontId="0" fillId="0" borderId="31" xfId="0" applyFill="1" applyBorder="1"/>
    <xf numFmtId="0" fontId="0" fillId="0" borderId="32" xfId="0" applyBorder="1"/>
    <xf numFmtId="0" fontId="0" fillId="0" borderId="33" xfId="0" applyFill="1" applyBorder="1"/>
    <xf numFmtId="0" fontId="0" fillId="0" borderId="32" xfId="0" applyFill="1" applyBorder="1"/>
    <xf numFmtId="0" fontId="0" fillId="0" borderId="33" xfId="0" applyBorder="1"/>
    <xf numFmtId="0" fontId="0" fillId="0" borderId="34" xfId="0" applyBorder="1"/>
    <xf numFmtId="0" fontId="1" fillId="0" borderId="0" xfId="0" applyFont="1" applyFill="1" applyBorder="1"/>
    <xf numFmtId="0" fontId="0" fillId="0" borderId="0" xfId="0" applyFill="1"/>
    <xf numFmtId="0" fontId="3" fillId="0" borderId="0" xfId="0" applyFont="1" applyFill="1"/>
    <xf numFmtId="0" fontId="4" fillId="0" borderId="0" xfId="1" applyFill="1" applyAlignment="1" applyProtection="1"/>
    <xf numFmtId="167" fontId="0" fillId="0" borderId="0" xfId="0" applyNumberFormat="1" applyBorder="1"/>
    <xf numFmtId="166" fontId="0" fillId="3" borderId="1" xfId="0" applyNumberFormat="1" applyFill="1" applyBorder="1"/>
    <xf numFmtId="166" fontId="0" fillId="3" borderId="8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B12" sqref="B12"/>
    </sheetView>
  </sheetViews>
  <sheetFormatPr defaultRowHeight="15" x14ac:dyDescent="0.25"/>
  <cols>
    <col min="1" max="1" width="23.5703125" customWidth="1"/>
    <col min="2" max="2" width="24.5703125" customWidth="1"/>
    <col min="3" max="3" width="14.42578125" style="8" customWidth="1"/>
    <col min="5" max="5" width="11" customWidth="1"/>
    <col min="6" max="6" width="9.7109375" customWidth="1"/>
    <col min="7" max="7" width="30" customWidth="1"/>
    <col min="8" max="8" width="14.42578125" style="6" bestFit="1" customWidth="1"/>
  </cols>
  <sheetData>
    <row r="1" spans="1:8" x14ac:dyDescent="0.25">
      <c r="A1" s="10" t="s">
        <v>14</v>
      </c>
      <c r="B1" s="11"/>
      <c r="C1" s="12"/>
      <c r="G1" s="3" t="s">
        <v>11</v>
      </c>
      <c r="H1" s="7"/>
    </row>
    <row r="2" spans="1:8" x14ac:dyDescent="0.25">
      <c r="A2" s="13"/>
      <c r="B2" s="3" t="s">
        <v>2</v>
      </c>
      <c r="C2" s="14" t="s">
        <v>3</v>
      </c>
      <c r="E2" t="s">
        <v>15</v>
      </c>
      <c r="G2" s="3" t="s">
        <v>8</v>
      </c>
      <c r="H2" s="7">
        <v>22</v>
      </c>
    </row>
    <row r="3" spans="1:8" x14ac:dyDescent="0.25">
      <c r="A3" s="13" t="s">
        <v>0</v>
      </c>
      <c r="B3" s="15">
        <v>5.3680000000000003</v>
      </c>
      <c r="C3" s="62">
        <f>B3*$E$3</f>
        <v>19.795482118712453</v>
      </c>
      <c r="E3" s="19">
        <f>$H$9/$H$3/$H$7/$H$4*$H$5/$H$6</f>
        <v>3.687682958031381</v>
      </c>
      <c r="G3" s="3" t="s">
        <v>9</v>
      </c>
      <c r="H3" s="7">
        <f>(273.15/(273.15+H2))</f>
        <v>0.92546162967982382</v>
      </c>
    </row>
    <row r="4" spans="1:8" x14ac:dyDescent="0.25">
      <c r="A4" s="13" t="s">
        <v>128</v>
      </c>
      <c r="B4" s="15">
        <v>1.006198E-2</v>
      </c>
      <c r="C4" s="62">
        <f>B4*$E$4</f>
        <v>4.2393126850315106</v>
      </c>
      <c r="E4" s="19">
        <f>$H$3/$H$8/$H$4*$H$5/$H$6</f>
        <v>421.31992759193622</v>
      </c>
      <c r="G4" s="3" t="s">
        <v>4</v>
      </c>
      <c r="H4" s="7">
        <v>60</v>
      </c>
    </row>
    <row r="5" spans="1:8" ht="15.75" thickBot="1" x14ac:dyDescent="0.3">
      <c r="A5" s="16" t="s">
        <v>1</v>
      </c>
      <c r="B5" s="17">
        <v>0.1</v>
      </c>
      <c r="C5" s="63">
        <f>B5*$E$5</f>
        <v>38.305870929090396</v>
      </c>
      <c r="E5" s="19">
        <f>$H$11/$H$3/$H$8/$H$4*$H$5/$H$6</f>
        <v>383.05870929090395</v>
      </c>
      <c r="G5" s="3" t="s">
        <v>5</v>
      </c>
      <c r="H5" s="7">
        <v>1000</v>
      </c>
    </row>
    <row r="6" spans="1:8" x14ac:dyDescent="0.25">
      <c r="G6" s="3" t="s">
        <v>6</v>
      </c>
      <c r="H6" s="7">
        <v>10000</v>
      </c>
    </row>
    <row r="7" spans="1:8" x14ac:dyDescent="0.25">
      <c r="G7" s="3" t="s">
        <v>7</v>
      </c>
      <c r="H7" s="7">
        <f>VLOOKUP(B21,Tables!D36:H43,5,FALSE)</f>
        <v>4.8604952188217176E-4</v>
      </c>
    </row>
    <row r="8" spans="1:8" ht="15.75" thickBot="1" x14ac:dyDescent="0.3">
      <c r="G8" s="3" t="s">
        <v>132</v>
      </c>
      <c r="H8" s="7">
        <f>VLOOKUP(B21,Tables!D36:H43,3,FALSE)</f>
        <v>3.6609615364794206E-6</v>
      </c>
    </row>
    <row r="9" spans="1:8" x14ac:dyDescent="0.25">
      <c r="A9" s="10" t="s">
        <v>13</v>
      </c>
      <c r="B9" s="11"/>
      <c r="C9" s="12"/>
      <c r="G9" s="4" t="s">
        <v>133</v>
      </c>
      <c r="H9" s="7">
        <f>VLOOKUP(B17,Tables!$B$22:$K$26,10,FALSE)</f>
        <v>0.99527653298946295</v>
      </c>
    </row>
    <row r="10" spans="1:8" x14ac:dyDescent="0.25">
      <c r="A10" s="13"/>
      <c r="B10" s="19" t="s">
        <v>3</v>
      </c>
      <c r="C10" s="2" t="s">
        <v>2</v>
      </c>
      <c r="G10" s="4" t="s">
        <v>134</v>
      </c>
      <c r="H10" s="7">
        <f>VLOOKUP(B18,Tables!B27:K28,10,FALSE)</f>
        <v>1</v>
      </c>
    </row>
    <row r="11" spans="1:8" x14ac:dyDescent="0.25">
      <c r="A11" s="13" t="s">
        <v>0</v>
      </c>
      <c r="B11" s="15">
        <v>19.79</v>
      </c>
      <c r="C11" s="62">
        <f>B11/$E$3</f>
        <v>5.3665133974978749</v>
      </c>
      <c r="G11" s="4" t="s">
        <v>135</v>
      </c>
      <c r="H11" s="7">
        <f>VLOOKUP(B19,Tables!B3:K21,10,FALSE)</f>
        <v>0.77869999999999995</v>
      </c>
    </row>
    <row r="12" spans="1:8" x14ac:dyDescent="0.25">
      <c r="A12" s="13" t="s">
        <v>128</v>
      </c>
      <c r="B12" s="15">
        <v>4.95</v>
      </c>
      <c r="C12" s="62">
        <f>B12/$E$4</f>
        <v>1.1748791537803206E-2</v>
      </c>
    </row>
    <row r="13" spans="1:8" ht="15.75" thickBot="1" x14ac:dyDescent="0.3">
      <c r="A13" s="16" t="s">
        <v>1</v>
      </c>
      <c r="B13" s="17">
        <v>10</v>
      </c>
      <c r="C13" s="63">
        <f>B13/$E$5</f>
        <v>2.610565889106508E-2</v>
      </c>
    </row>
    <row r="16" spans="1:8" x14ac:dyDescent="0.25">
      <c r="B16" s="1" t="s">
        <v>127</v>
      </c>
    </row>
    <row r="17" spans="1:2" x14ac:dyDescent="0.25">
      <c r="A17" t="s">
        <v>129</v>
      </c>
      <c r="B17" s="9" t="s">
        <v>10</v>
      </c>
    </row>
    <row r="18" spans="1:2" x14ac:dyDescent="0.25">
      <c r="A18" t="s">
        <v>130</v>
      </c>
      <c r="B18" s="9" t="s">
        <v>28</v>
      </c>
    </row>
    <row r="19" spans="1:2" x14ac:dyDescent="0.25">
      <c r="A19" t="s">
        <v>131</v>
      </c>
      <c r="B19" s="9" t="s">
        <v>31</v>
      </c>
    </row>
    <row r="21" spans="1:2" x14ac:dyDescent="0.25">
      <c r="A21" t="s">
        <v>61</v>
      </c>
      <c r="B21" s="9" t="s">
        <v>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HeaderTables!$B$57:$B$64</xm:f>
          </x14:formula1>
          <xm:sqref>B21</xm:sqref>
        </x14:dataValidation>
        <x14:dataValidation type="list" allowBlank="1" showInputMessage="1" showErrorMessage="1">
          <x14:formula1>
            <xm:f>HeaderTables!$B$9:$B$13</xm:f>
          </x14:formula1>
          <xm:sqref>B17</xm:sqref>
        </x14:dataValidation>
        <x14:dataValidation type="list" allowBlank="1" showInputMessage="1" showErrorMessage="1">
          <x14:formula1>
            <xm:f>HeaderTables!$B$16:$B$17</xm:f>
          </x14:formula1>
          <xm:sqref>B18</xm:sqref>
        </x14:dataValidation>
        <x14:dataValidation type="list" allowBlank="1" showInputMessage="1" showErrorMessage="1">
          <x14:formula1>
            <xm:f>HeaderTables!$B$20:$B$38</xm:f>
          </x14:formula1>
          <xm:sqref>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opLeftCell="A43" workbookViewId="0">
      <selection activeCell="B61" sqref="B61:B62"/>
    </sheetView>
  </sheetViews>
  <sheetFormatPr defaultRowHeight="15" x14ac:dyDescent="0.25"/>
  <cols>
    <col min="2" max="2" width="36.140625" bestFit="1" customWidth="1"/>
    <col min="4" max="4" width="18.7109375" bestFit="1" customWidth="1"/>
  </cols>
  <sheetData>
    <row r="1" spans="1:2" x14ac:dyDescent="0.25">
      <c r="A1" t="s">
        <v>16</v>
      </c>
    </row>
    <row r="2" spans="1:2" x14ac:dyDescent="0.25">
      <c r="A2">
        <v>0</v>
      </c>
      <c r="B2" t="s">
        <v>17</v>
      </c>
    </row>
    <row r="3" spans="1:2" x14ac:dyDescent="0.25">
      <c r="A3">
        <v>1</v>
      </c>
      <c r="B3" t="s">
        <v>18</v>
      </c>
    </row>
    <row r="4" spans="1:2" x14ac:dyDescent="0.25">
      <c r="A4">
        <v>2</v>
      </c>
      <c r="B4" t="s">
        <v>19</v>
      </c>
    </row>
    <row r="5" spans="1:2" x14ac:dyDescent="0.25">
      <c r="A5">
        <v>3</v>
      </c>
      <c r="B5" t="s">
        <v>20</v>
      </c>
    </row>
    <row r="6" spans="1:2" x14ac:dyDescent="0.25">
      <c r="A6">
        <v>4</v>
      </c>
      <c r="B6" t="s">
        <v>21</v>
      </c>
    </row>
    <row r="8" spans="1:2" x14ac:dyDescent="0.25">
      <c r="A8" t="s">
        <v>22</v>
      </c>
    </row>
    <row r="9" spans="1:2" x14ac:dyDescent="0.25">
      <c r="A9">
        <v>0</v>
      </c>
      <c r="B9" t="s">
        <v>10</v>
      </c>
    </row>
    <row r="10" spans="1:2" x14ac:dyDescent="0.25">
      <c r="A10">
        <v>1</v>
      </c>
      <c r="B10" t="s">
        <v>23</v>
      </c>
    </row>
    <row r="11" spans="1:2" x14ac:dyDescent="0.25">
      <c r="A11">
        <v>2</v>
      </c>
      <c r="B11" t="s">
        <v>24</v>
      </c>
    </row>
    <row r="12" spans="1:2" x14ac:dyDescent="0.25">
      <c r="A12">
        <v>3</v>
      </c>
      <c r="B12" t="s">
        <v>25</v>
      </c>
    </row>
    <row r="13" spans="1:2" x14ac:dyDescent="0.25">
      <c r="A13">
        <v>4</v>
      </c>
      <c r="B13" t="s">
        <v>26</v>
      </c>
    </row>
    <row r="15" spans="1:2" x14ac:dyDescent="0.25">
      <c r="A15" t="s">
        <v>27</v>
      </c>
    </row>
    <row r="16" spans="1:2" x14ac:dyDescent="0.25">
      <c r="A16">
        <v>0</v>
      </c>
      <c r="B16" t="s">
        <v>28</v>
      </c>
    </row>
    <row r="17" spans="1:2" x14ac:dyDescent="0.25">
      <c r="A17">
        <v>1</v>
      </c>
      <c r="B17" t="s">
        <v>29</v>
      </c>
    </row>
    <row r="19" spans="1:2" x14ac:dyDescent="0.25">
      <c r="A19" t="s">
        <v>30</v>
      </c>
    </row>
    <row r="20" spans="1:2" x14ac:dyDescent="0.25">
      <c r="A20">
        <v>0</v>
      </c>
      <c r="B20" t="s">
        <v>31</v>
      </c>
    </row>
    <row r="21" spans="1:2" x14ac:dyDescent="0.25">
      <c r="A21">
        <v>1</v>
      </c>
      <c r="B21" t="s">
        <v>32</v>
      </c>
    </row>
    <row r="22" spans="1:2" x14ac:dyDescent="0.25">
      <c r="A22">
        <v>2</v>
      </c>
      <c r="B22" t="s">
        <v>12</v>
      </c>
    </row>
    <row r="23" spans="1:2" x14ac:dyDescent="0.25">
      <c r="A23">
        <v>3</v>
      </c>
      <c r="B23" t="s">
        <v>33</v>
      </c>
    </row>
    <row r="24" spans="1:2" x14ac:dyDescent="0.25">
      <c r="A24">
        <v>4</v>
      </c>
      <c r="B24" t="s">
        <v>34</v>
      </c>
    </row>
    <row r="25" spans="1:2" x14ac:dyDescent="0.25">
      <c r="A25">
        <v>5</v>
      </c>
      <c r="B25" t="s">
        <v>35</v>
      </c>
    </row>
    <row r="26" spans="1:2" x14ac:dyDescent="0.25">
      <c r="A26">
        <v>6</v>
      </c>
      <c r="B26" t="s">
        <v>36</v>
      </c>
    </row>
    <row r="27" spans="1:2" x14ac:dyDescent="0.25">
      <c r="A27">
        <v>7</v>
      </c>
      <c r="B27" t="s">
        <v>37</v>
      </c>
    </row>
    <row r="28" spans="1:2" x14ac:dyDescent="0.25">
      <c r="A28">
        <v>8</v>
      </c>
      <c r="B28" t="s">
        <v>38</v>
      </c>
    </row>
    <row r="29" spans="1:2" x14ac:dyDescent="0.25">
      <c r="A29">
        <v>9</v>
      </c>
      <c r="B29" t="s">
        <v>39</v>
      </c>
    </row>
    <row r="30" spans="1:2" x14ac:dyDescent="0.25">
      <c r="A30">
        <v>10</v>
      </c>
      <c r="B30" t="s">
        <v>40</v>
      </c>
    </row>
    <row r="31" spans="1:2" x14ac:dyDescent="0.25">
      <c r="A31">
        <v>11</v>
      </c>
      <c r="B31" t="s">
        <v>41</v>
      </c>
    </row>
    <row r="32" spans="1:2" x14ac:dyDescent="0.25">
      <c r="A32">
        <v>12</v>
      </c>
      <c r="B32" t="s">
        <v>42</v>
      </c>
    </row>
    <row r="33" spans="1:2" x14ac:dyDescent="0.25">
      <c r="A33">
        <v>13</v>
      </c>
      <c r="B33" t="s">
        <v>43</v>
      </c>
    </row>
    <row r="34" spans="1:2" x14ac:dyDescent="0.25">
      <c r="A34">
        <v>14</v>
      </c>
      <c r="B34" t="s">
        <v>44</v>
      </c>
    </row>
    <row r="35" spans="1:2" x14ac:dyDescent="0.25">
      <c r="A35">
        <v>15</v>
      </c>
      <c r="B35" t="s">
        <v>45</v>
      </c>
    </row>
    <row r="36" spans="1:2" x14ac:dyDescent="0.25">
      <c r="A36">
        <v>16</v>
      </c>
      <c r="B36" t="s">
        <v>46</v>
      </c>
    </row>
    <row r="37" spans="1:2" x14ac:dyDescent="0.25">
      <c r="A37">
        <v>17</v>
      </c>
      <c r="B37" t="s">
        <v>47</v>
      </c>
    </row>
    <row r="38" spans="1:2" x14ac:dyDescent="0.25">
      <c r="A38">
        <v>18</v>
      </c>
      <c r="B38" t="s">
        <v>48</v>
      </c>
    </row>
    <row r="41" spans="1:2" x14ac:dyDescent="0.25">
      <c r="A41" t="s">
        <v>49</v>
      </c>
    </row>
    <row r="42" spans="1:2" x14ac:dyDescent="0.25">
      <c r="A42">
        <v>0</v>
      </c>
      <c r="B42" t="s">
        <v>50</v>
      </c>
    </row>
    <row r="43" spans="1:2" x14ac:dyDescent="0.25">
      <c r="A43">
        <v>1</v>
      </c>
      <c r="B43" t="s">
        <v>51</v>
      </c>
    </row>
    <row r="44" spans="1:2" x14ac:dyDescent="0.25">
      <c r="A44">
        <v>2</v>
      </c>
      <c r="B44" t="s">
        <v>52</v>
      </c>
    </row>
    <row r="46" spans="1:2" x14ac:dyDescent="0.25">
      <c r="A46" t="s">
        <v>53</v>
      </c>
    </row>
    <row r="47" spans="1:2" x14ac:dyDescent="0.25">
      <c r="A47">
        <v>0</v>
      </c>
      <c r="B47" t="s">
        <v>54</v>
      </c>
    </row>
    <row r="48" spans="1:2" x14ac:dyDescent="0.25">
      <c r="A48">
        <v>1</v>
      </c>
      <c r="B48" t="s">
        <v>55</v>
      </c>
    </row>
    <row r="49" spans="1:3" x14ac:dyDescent="0.25">
      <c r="A49">
        <v>2</v>
      </c>
      <c r="B49" t="s">
        <v>56</v>
      </c>
    </row>
    <row r="51" spans="1:3" x14ac:dyDescent="0.25">
      <c r="A51" t="s">
        <v>57</v>
      </c>
    </row>
    <row r="52" spans="1:3" x14ac:dyDescent="0.25">
      <c r="A52">
        <v>0</v>
      </c>
      <c r="B52" t="s">
        <v>58</v>
      </c>
    </row>
    <row r="53" spans="1:3" x14ac:dyDescent="0.25">
      <c r="A53">
        <v>1</v>
      </c>
      <c r="B53" t="s">
        <v>59</v>
      </c>
    </row>
    <row r="54" spans="1:3" x14ac:dyDescent="0.25">
      <c r="A54">
        <v>2</v>
      </c>
      <c r="B54" t="s">
        <v>60</v>
      </c>
    </row>
    <row r="56" spans="1:3" x14ac:dyDescent="0.25">
      <c r="A56" t="s">
        <v>61</v>
      </c>
    </row>
    <row r="57" spans="1:3" x14ac:dyDescent="0.25">
      <c r="A57">
        <v>0</v>
      </c>
      <c r="B57" t="s">
        <v>62</v>
      </c>
    </row>
    <row r="58" spans="1:3" x14ac:dyDescent="0.25">
      <c r="A58">
        <v>1</v>
      </c>
      <c r="B58" t="s">
        <v>63</v>
      </c>
    </row>
    <row r="59" spans="1:3" x14ac:dyDescent="0.25">
      <c r="A59">
        <v>2</v>
      </c>
      <c r="B59" t="s">
        <v>64</v>
      </c>
    </row>
    <row r="60" spans="1:3" x14ac:dyDescent="0.25">
      <c r="A60">
        <v>3</v>
      </c>
      <c r="B60" t="s">
        <v>18</v>
      </c>
    </row>
    <row r="61" spans="1:3" x14ac:dyDescent="0.25">
      <c r="A61">
        <v>4</v>
      </c>
      <c r="B61" t="s">
        <v>65</v>
      </c>
      <c r="C61" t="s">
        <v>66</v>
      </c>
    </row>
    <row r="62" spans="1:3" x14ac:dyDescent="0.25">
      <c r="A62">
        <v>5</v>
      </c>
      <c r="B62" t="s">
        <v>67</v>
      </c>
      <c r="C62" t="s">
        <v>66</v>
      </c>
    </row>
    <row r="63" spans="1:3" x14ac:dyDescent="0.25">
      <c r="A63">
        <v>6</v>
      </c>
      <c r="B63" t="s">
        <v>68</v>
      </c>
    </row>
    <row r="64" spans="1:3" x14ac:dyDescent="0.25">
      <c r="A64">
        <v>7</v>
      </c>
      <c r="B64" t="s">
        <v>69</v>
      </c>
    </row>
    <row r="66" spans="1:2" x14ac:dyDescent="0.25">
      <c r="A66" t="s">
        <v>70</v>
      </c>
    </row>
    <row r="67" spans="1:2" x14ac:dyDescent="0.25">
      <c r="A67">
        <v>0</v>
      </c>
      <c r="B67" t="s">
        <v>71</v>
      </c>
    </row>
    <row r="68" spans="1:2" x14ac:dyDescent="0.25">
      <c r="A68">
        <v>1</v>
      </c>
      <c r="B68" t="s">
        <v>72</v>
      </c>
    </row>
    <row r="69" spans="1:2" x14ac:dyDescent="0.25">
      <c r="A69">
        <v>2</v>
      </c>
      <c r="B69" t="s">
        <v>73</v>
      </c>
    </row>
    <row r="71" spans="1:2" x14ac:dyDescent="0.25">
      <c r="A71" t="s">
        <v>74</v>
      </c>
    </row>
    <row r="72" spans="1:2" x14ac:dyDescent="0.25">
      <c r="A72">
        <v>0</v>
      </c>
      <c r="B72" t="s">
        <v>75</v>
      </c>
    </row>
    <row r="73" spans="1:2" x14ac:dyDescent="0.25">
      <c r="A73">
        <v>1</v>
      </c>
      <c r="B73" t="s">
        <v>21</v>
      </c>
    </row>
    <row r="75" spans="1:2" x14ac:dyDescent="0.25">
      <c r="A75" t="s">
        <v>76</v>
      </c>
    </row>
    <row r="76" spans="1:2" x14ac:dyDescent="0.25">
      <c r="A76">
        <v>0</v>
      </c>
      <c r="B76" t="s">
        <v>77</v>
      </c>
    </row>
    <row r="77" spans="1:2" x14ac:dyDescent="0.25">
      <c r="A77">
        <v>1</v>
      </c>
      <c r="B77" t="s">
        <v>78</v>
      </c>
    </row>
    <row r="79" spans="1:2" x14ac:dyDescent="0.25">
      <c r="A79" t="s">
        <v>79</v>
      </c>
    </row>
    <row r="80" spans="1:2" x14ac:dyDescent="0.25">
      <c r="A80">
        <v>0</v>
      </c>
      <c r="B80" t="s">
        <v>54</v>
      </c>
    </row>
    <row r="81" spans="1:2" x14ac:dyDescent="0.25">
      <c r="A81">
        <v>1</v>
      </c>
      <c r="B8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workbookViewId="0">
      <selection activeCell="B40" sqref="B40"/>
    </sheetView>
  </sheetViews>
  <sheetFormatPr defaultRowHeight="15" x14ac:dyDescent="0.25"/>
  <cols>
    <col min="1" max="1" width="18.7109375" bestFit="1" customWidth="1"/>
    <col min="2" max="2" width="36.140625" bestFit="1" customWidth="1"/>
    <col min="3" max="3" width="20.85546875" bestFit="1" customWidth="1"/>
    <col min="4" max="4" width="17" customWidth="1"/>
    <col min="6" max="6" width="16.140625" customWidth="1"/>
    <col min="7" max="7" width="6.5703125" customWidth="1"/>
    <col min="8" max="8" width="10" customWidth="1"/>
    <col min="9" max="9" width="17.140625" customWidth="1"/>
    <col min="10" max="10" width="35.85546875" customWidth="1"/>
    <col min="11" max="11" width="13.7109375" customWidth="1"/>
    <col min="13" max="13" width="12.5703125" bestFit="1" customWidth="1"/>
    <col min="18" max="18" width="20" bestFit="1" customWidth="1"/>
  </cols>
  <sheetData>
    <row r="1" spans="1:11" ht="15.75" thickTop="1" x14ac:dyDescent="0.25">
      <c r="A1" s="20" t="s">
        <v>81</v>
      </c>
      <c r="B1" s="4" t="s">
        <v>82</v>
      </c>
      <c r="C1" s="21" t="s">
        <v>83</v>
      </c>
      <c r="D1" s="22" t="s">
        <v>84</v>
      </c>
      <c r="E1" s="23" t="s">
        <v>85</v>
      </c>
      <c r="F1" s="24"/>
      <c r="G1" s="23" t="s">
        <v>86</v>
      </c>
      <c r="H1" s="24"/>
      <c r="I1" s="23" t="s">
        <v>87</v>
      </c>
      <c r="J1" s="24"/>
      <c r="K1" s="25" t="s">
        <v>88</v>
      </c>
    </row>
    <row r="2" spans="1:11" ht="15.75" thickBot="1" x14ac:dyDescent="0.3">
      <c r="C2" s="26"/>
      <c r="D2" s="27"/>
      <c r="E2" s="28" t="s">
        <v>89</v>
      </c>
      <c r="F2" s="29" t="s">
        <v>90</v>
      </c>
      <c r="G2" s="28" t="s">
        <v>89</v>
      </c>
      <c r="H2" s="29" t="s">
        <v>90</v>
      </c>
      <c r="I2" s="28" t="s">
        <v>89</v>
      </c>
      <c r="J2" s="29" t="s">
        <v>90</v>
      </c>
      <c r="K2" s="30" t="s">
        <v>91</v>
      </c>
    </row>
    <row r="3" spans="1:11" x14ac:dyDescent="0.25">
      <c r="A3">
        <v>0</v>
      </c>
      <c r="B3" s="4" t="s">
        <v>31</v>
      </c>
      <c r="C3" s="31" t="s">
        <v>92</v>
      </c>
      <c r="D3" s="32" t="s">
        <v>93</v>
      </c>
      <c r="E3" s="4">
        <v>1</v>
      </c>
      <c r="F3" s="33">
        <v>0.77869999999999995</v>
      </c>
      <c r="G3" s="4">
        <v>0</v>
      </c>
      <c r="H3" s="34">
        <v>99</v>
      </c>
      <c r="I3" s="4">
        <v>0</v>
      </c>
      <c r="J3" s="34">
        <v>99</v>
      </c>
      <c r="K3" s="35">
        <f>1/(E3/F3+G3/H3+I3/J3)</f>
        <v>0.77869999999999995</v>
      </c>
    </row>
    <row r="4" spans="1:11" x14ac:dyDescent="0.25">
      <c r="A4" s="4">
        <v>1</v>
      </c>
      <c r="B4" s="4" t="s">
        <v>32</v>
      </c>
      <c r="C4" s="31" t="s">
        <v>94</v>
      </c>
      <c r="D4" s="32" t="s">
        <v>93</v>
      </c>
      <c r="E4" s="3">
        <v>0.3</v>
      </c>
      <c r="F4" s="33">
        <v>0.77869999999999995</v>
      </c>
      <c r="G4" s="4">
        <v>0.7</v>
      </c>
      <c r="H4" s="33">
        <v>1</v>
      </c>
      <c r="I4" s="4">
        <v>0</v>
      </c>
      <c r="J4" s="34">
        <v>99</v>
      </c>
      <c r="K4" s="35">
        <f>1/(E4/F4+G4/H4+I4/J4)</f>
        <v>0.92144031996592091</v>
      </c>
    </row>
    <row r="5" spans="1:11" x14ac:dyDescent="0.25">
      <c r="A5" s="4">
        <v>2</v>
      </c>
      <c r="B5" s="4" t="s">
        <v>12</v>
      </c>
      <c r="C5" s="31" t="s">
        <v>95</v>
      </c>
      <c r="D5" s="32" t="s">
        <v>93</v>
      </c>
      <c r="E5" s="3">
        <v>0.4</v>
      </c>
      <c r="F5" s="33">
        <v>0.77869999999999995</v>
      </c>
      <c r="G5" s="4">
        <v>0.6</v>
      </c>
      <c r="H5" s="33">
        <v>1</v>
      </c>
      <c r="I5" s="4">
        <v>0</v>
      </c>
      <c r="J5" s="34">
        <v>99</v>
      </c>
      <c r="K5" s="35">
        <f>1/(E5/F5+G5/H5+I5/J5)</f>
        <v>0.89792670833237231</v>
      </c>
    </row>
    <row r="6" spans="1:11" x14ac:dyDescent="0.25">
      <c r="A6" s="4">
        <v>3</v>
      </c>
      <c r="B6" s="4" t="s">
        <v>33</v>
      </c>
      <c r="C6" s="31" t="s">
        <v>96</v>
      </c>
      <c r="D6" s="32" t="s">
        <v>93</v>
      </c>
      <c r="E6" s="3">
        <v>0.45</v>
      </c>
      <c r="F6" s="33">
        <v>0.77869999999999995</v>
      </c>
      <c r="G6" s="4">
        <v>0.55000000000000004</v>
      </c>
      <c r="H6" s="33">
        <v>1</v>
      </c>
      <c r="I6" s="4">
        <v>0</v>
      </c>
      <c r="J6" s="34">
        <v>99</v>
      </c>
      <c r="K6" s="35">
        <f t="shared" ref="K6:K28" si="0">1/(E6/F6+G6/H6+I6/J6)</f>
        <v>0.88661425391530069</v>
      </c>
    </row>
    <row r="7" spans="1:11" x14ac:dyDescent="0.25">
      <c r="A7" s="4">
        <v>4</v>
      </c>
      <c r="B7" s="4" t="s">
        <v>34</v>
      </c>
      <c r="C7" s="31" t="s">
        <v>97</v>
      </c>
      <c r="D7" s="32" t="s">
        <v>93</v>
      </c>
      <c r="E7" s="4">
        <v>1</v>
      </c>
      <c r="F7" s="34">
        <v>0.60619999999999996</v>
      </c>
      <c r="G7" s="4">
        <v>0</v>
      </c>
      <c r="H7" s="36">
        <v>99</v>
      </c>
      <c r="I7" s="4">
        <v>0</v>
      </c>
      <c r="J7" s="34">
        <v>99</v>
      </c>
      <c r="K7" s="35">
        <f>1/(E7/F7+G7/H7+I7/J7)</f>
        <v>0.60619999999999996</v>
      </c>
    </row>
    <row r="8" spans="1:11" x14ac:dyDescent="0.25">
      <c r="A8" s="4">
        <v>5</v>
      </c>
      <c r="B8" s="4" t="s">
        <v>35</v>
      </c>
      <c r="C8" s="31" t="s">
        <v>98</v>
      </c>
      <c r="D8" s="32" t="s">
        <v>93</v>
      </c>
      <c r="E8" s="3">
        <v>0.3</v>
      </c>
      <c r="F8" s="34">
        <v>0.60619999999999996</v>
      </c>
      <c r="G8" s="4">
        <v>0.7</v>
      </c>
      <c r="H8" s="33">
        <v>1</v>
      </c>
      <c r="I8" s="4">
        <v>0</v>
      </c>
      <c r="J8" s="34">
        <v>99</v>
      </c>
      <c r="K8" s="35">
        <f>1/(E8/F8+G8/H8+I8/J8)</f>
        <v>0.83689979843719808</v>
      </c>
    </row>
    <row r="9" spans="1:11" x14ac:dyDescent="0.25">
      <c r="A9" s="4">
        <v>6</v>
      </c>
      <c r="B9" s="4" t="s">
        <v>36</v>
      </c>
      <c r="C9" s="31" t="s">
        <v>99</v>
      </c>
      <c r="D9" s="32" t="s">
        <v>93</v>
      </c>
      <c r="E9" s="3">
        <v>0.5</v>
      </c>
      <c r="F9" s="34">
        <v>0.60619999999999996</v>
      </c>
      <c r="G9" s="4">
        <v>0.5</v>
      </c>
      <c r="H9" s="33">
        <v>1</v>
      </c>
      <c r="I9" s="4">
        <v>0</v>
      </c>
      <c r="J9" s="34">
        <v>99</v>
      </c>
      <c r="K9" s="35">
        <f t="shared" si="0"/>
        <v>0.75482505291993518</v>
      </c>
    </row>
    <row r="10" spans="1:11" x14ac:dyDescent="0.25">
      <c r="A10" s="4">
        <v>7</v>
      </c>
      <c r="B10" s="4" t="s">
        <v>37</v>
      </c>
      <c r="C10" s="31" t="s">
        <v>100</v>
      </c>
      <c r="D10" s="32" t="s">
        <v>93</v>
      </c>
      <c r="E10" s="4">
        <v>1</v>
      </c>
      <c r="F10" s="34">
        <v>1.0038</v>
      </c>
      <c r="G10" s="4">
        <v>0</v>
      </c>
      <c r="H10" s="34">
        <v>99</v>
      </c>
      <c r="I10" s="4">
        <v>0</v>
      </c>
      <c r="J10" s="34">
        <v>99</v>
      </c>
      <c r="K10" s="35">
        <f>1/(E10/F10+G10/H10+I10/J10)</f>
        <v>1.0038</v>
      </c>
    </row>
    <row r="11" spans="1:11" x14ac:dyDescent="0.25">
      <c r="A11" s="4">
        <v>8</v>
      </c>
      <c r="B11" s="4" t="s">
        <v>38</v>
      </c>
      <c r="C11" s="31" t="s">
        <v>101</v>
      </c>
      <c r="D11" s="32" t="s">
        <v>93</v>
      </c>
      <c r="E11" s="4">
        <v>0.44400000000000001</v>
      </c>
      <c r="F11" s="34">
        <v>1.0038</v>
      </c>
      <c r="G11" s="4">
        <v>0.55600000000000005</v>
      </c>
      <c r="H11" s="33">
        <v>0.77869999999999995</v>
      </c>
      <c r="I11" s="4">
        <v>0</v>
      </c>
      <c r="J11" s="34">
        <v>99</v>
      </c>
      <c r="K11" s="35">
        <f>1/(E11/F11+G11/H11+I11/J11)</f>
        <v>0.86480524101416201</v>
      </c>
    </row>
    <row r="12" spans="1:11" x14ac:dyDescent="0.25">
      <c r="A12" s="4">
        <v>9</v>
      </c>
      <c r="B12" s="4" t="s">
        <v>39</v>
      </c>
      <c r="C12" s="31" t="s">
        <v>102</v>
      </c>
      <c r="D12" s="32" t="s">
        <v>93</v>
      </c>
      <c r="E12" s="4">
        <v>0.55600000000000005</v>
      </c>
      <c r="F12" s="34">
        <v>1.0038</v>
      </c>
      <c r="G12" s="4">
        <v>0.44400000000000001</v>
      </c>
      <c r="H12" s="33">
        <v>0.77869999999999995</v>
      </c>
      <c r="I12" s="4">
        <v>0</v>
      </c>
      <c r="J12" s="34">
        <v>99</v>
      </c>
      <c r="K12" s="35">
        <f t="shared" si="0"/>
        <v>0.88961934998959769</v>
      </c>
    </row>
    <row r="13" spans="1:11" x14ac:dyDescent="0.25">
      <c r="A13" s="4">
        <v>10</v>
      </c>
      <c r="B13" s="4" t="s">
        <v>40</v>
      </c>
      <c r="C13" s="31" t="s">
        <v>103</v>
      </c>
      <c r="D13" s="32" t="s">
        <v>93</v>
      </c>
      <c r="E13" s="4">
        <v>0.66700000000000004</v>
      </c>
      <c r="F13" s="34">
        <v>1.0038</v>
      </c>
      <c r="G13" s="4">
        <v>0.33300000000000002</v>
      </c>
      <c r="H13" s="33">
        <v>0.77869999999999995</v>
      </c>
      <c r="I13" s="4">
        <v>0</v>
      </c>
      <c r="J13" s="34">
        <v>99</v>
      </c>
      <c r="K13" s="35">
        <f>1/(E13/F13+G13/H13+I13/J13)</f>
        <v>0.91565800976807699</v>
      </c>
    </row>
    <row r="14" spans="1:11" x14ac:dyDescent="0.25">
      <c r="A14" s="4">
        <v>11</v>
      </c>
      <c r="B14" s="4" t="s">
        <v>41</v>
      </c>
      <c r="C14" s="31" t="s">
        <v>104</v>
      </c>
      <c r="D14" s="32" t="s">
        <v>93</v>
      </c>
      <c r="E14" s="4">
        <v>0.2</v>
      </c>
      <c r="F14" s="34">
        <v>1.0038</v>
      </c>
      <c r="G14" s="4">
        <v>0.25</v>
      </c>
      <c r="H14" s="33">
        <v>0.77869999999999995</v>
      </c>
      <c r="I14" s="4">
        <v>0.55000000000000004</v>
      </c>
      <c r="J14" s="34">
        <v>99</v>
      </c>
      <c r="K14" s="35">
        <f>1/(E14/F14+G14/H14+I14/J14)</f>
        <v>1.9016962509808559</v>
      </c>
    </row>
    <row r="15" spans="1:11" x14ac:dyDescent="0.25">
      <c r="A15" s="4">
        <v>12</v>
      </c>
      <c r="B15" s="4" t="s">
        <v>42</v>
      </c>
      <c r="C15" s="31" t="s">
        <v>105</v>
      </c>
      <c r="D15" s="32" t="s">
        <v>93</v>
      </c>
      <c r="E15" s="4">
        <v>0.25</v>
      </c>
      <c r="F15" s="34">
        <v>1.0038</v>
      </c>
      <c r="G15" s="4">
        <v>0.2</v>
      </c>
      <c r="H15" s="33">
        <v>0.77869999999999995</v>
      </c>
      <c r="I15" s="4">
        <v>0.55000000000000004</v>
      </c>
      <c r="J15" s="34">
        <v>99</v>
      </c>
      <c r="K15" s="35">
        <f>1/(E15/F15+G15/H15+I15/J15)</f>
        <v>1.9552350034369237</v>
      </c>
    </row>
    <row r="16" spans="1:11" x14ac:dyDescent="0.25">
      <c r="A16" s="4">
        <v>13</v>
      </c>
      <c r="B16" s="4" t="s">
        <v>43</v>
      </c>
      <c r="C16" s="31" t="s">
        <v>106</v>
      </c>
      <c r="D16" s="32" t="s">
        <v>93</v>
      </c>
      <c r="E16" s="4">
        <v>0.3</v>
      </c>
      <c r="F16" s="34">
        <v>1.0038</v>
      </c>
      <c r="G16" s="4">
        <v>0.15</v>
      </c>
      <c r="H16" s="33">
        <v>0.77869999999999995</v>
      </c>
      <c r="I16" s="4">
        <v>0.55000000000000004</v>
      </c>
      <c r="J16" s="34">
        <v>99</v>
      </c>
      <c r="K16" s="35">
        <f t="shared" si="0"/>
        <v>2.0118756538825733</v>
      </c>
    </row>
    <row r="17" spans="1:23" x14ac:dyDescent="0.25">
      <c r="A17" s="4">
        <v>14</v>
      </c>
      <c r="B17" s="4" t="s">
        <v>44</v>
      </c>
      <c r="C17" s="31" t="s">
        <v>107</v>
      </c>
      <c r="D17" s="32" t="s">
        <v>93</v>
      </c>
      <c r="E17" s="4">
        <v>0.45</v>
      </c>
      <c r="F17" s="34">
        <v>1.0038</v>
      </c>
      <c r="G17" s="4">
        <v>0.55000000000000004</v>
      </c>
      <c r="H17" s="34">
        <v>1.4005000000000001</v>
      </c>
      <c r="I17" s="4">
        <v>0</v>
      </c>
      <c r="J17" s="34">
        <v>99</v>
      </c>
      <c r="K17" s="35">
        <f>1/(E17/F17+G17/H17+I17/J17)</f>
        <v>1.1890417528323671</v>
      </c>
    </row>
    <row r="18" spans="1:23" x14ac:dyDescent="0.25">
      <c r="A18" s="4">
        <v>15</v>
      </c>
      <c r="B18" s="4" t="s">
        <v>45</v>
      </c>
      <c r="C18" s="31" t="s">
        <v>108</v>
      </c>
      <c r="D18" s="32" t="s">
        <v>93</v>
      </c>
      <c r="E18" s="4">
        <v>0.45</v>
      </c>
      <c r="F18" s="33">
        <v>0.77869999999999995</v>
      </c>
      <c r="G18" s="4">
        <v>0.55000000000000004</v>
      </c>
      <c r="H18" s="34">
        <v>1.4005000000000001</v>
      </c>
      <c r="I18" s="4">
        <v>0</v>
      </c>
      <c r="J18" s="34">
        <v>99</v>
      </c>
      <c r="K18" s="35">
        <f t="shared" si="0"/>
        <v>1.0302872433892922</v>
      </c>
    </row>
    <row r="19" spans="1:23" x14ac:dyDescent="0.25">
      <c r="A19" s="4">
        <v>16</v>
      </c>
      <c r="B19" s="4" t="s">
        <v>46</v>
      </c>
      <c r="C19" s="31" t="s">
        <v>109</v>
      </c>
      <c r="D19" s="32" t="s">
        <v>93</v>
      </c>
      <c r="E19" s="4">
        <v>0.2</v>
      </c>
      <c r="F19" s="34">
        <v>0.60619999999999996</v>
      </c>
      <c r="G19" s="4">
        <v>0.8</v>
      </c>
      <c r="H19" s="34">
        <v>1.4005000000000001</v>
      </c>
      <c r="I19" s="4">
        <v>0</v>
      </c>
      <c r="J19" s="34">
        <v>99</v>
      </c>
      <c r="K19" s="35">
        <f t="shared" si="0"/>
        <v>1.1096947951794629</v>
      </c>
    </row>
    <row r="20" spans="1:23" x14ac:dyDescent="0.25">
      <c r="A20" s="4">
        <v>17</v>
      </c>
      <c r="B20" s="4" t="s">
        <v>47</v>
      </c>
      <c r="C20" s="31" t="s">
        <v>110</v>
      </c>
      <c r="D20" s="32" t="s">
        <v>93</v>
      </c>
      <c r="E20" s="4">
        <v>0.25</v>
      </c>
      <c r="F20" s="34">
        <v>0.60619999999999996</v>
      </c>
      <c r="G20" s="4">
        <v>0.75</v>
      </c>
      <c r="H20" s="34">
        <v>1.4005000000000001</v>
      </c>
      <c r="I20" s="4">
        <v>0</v>
      </c>
      <c r="J20" s="34">
        <v>99</v>
      </c>
      <c r="K20" s="35">
        <f t="shared" si="0"/>
        <v>1.054932248143891</v>
      </c>
    </row>
    <row r="21" spans="1:23" x14ac:dyDescent="0.25">
      <c r="A21" s="4">
        <v>18</v>
      </c>
      <c r="B21" s="4" t="s">
        <v>48</v>
      </c>
      <c r="C21" s="31" t="s">
        <v>111</v>
      </c>
      <c r="D21" s="32" t="s">
        <v>93</v>
      </c>
      <c r="E21" s="3">
        <v>0.3</v>
      </c>
      <c r="F21" s="34">
        <v>0.60619999999999996</v>
      </c>
      <c r="G21" s="4">
        <v>0.7</v>
      </c>
      <c r="H21" s="34">
        <v>1.4005000000000001</v>
      </c>
      <c r="I21" s="4">
        <v>0</v>
      </c>
      <c r="J21" s="34">
        <v>99</v>
      </c>
      <c r="K21" s="35">
        <f t="shared" si="0"/>
        <v>1.0053204892893937</v>
      </c>
    </row>
    <row r="22" spans="1:23" x14ac:dyDescent="0.25">
      <c r="A22" s="4">
        <v>0</v>
      </c>
      <c r="B22" s="4" t="s">
        <v>10</v>
      </c>
      <c r="C22" s="37" t="s">
        <v>112</v>
      </c>
      <c r="D22" s="38" t="s">
        <v>113</v>
      </c>
      <c r="E22" s="39">
        <v>0.21</v>
      </c>
      <c r="F22" s="40">
        <v>0.97789999999999999</v>
      </c>
      <c r="G22" s="39">
        <v>0.79</v>
      </c>
      <c r="H22" s="40">
        <v>1</v>
      </c>
      <c r="I22" s="39">
        <v>0</v>
      </c>
      <c r="J22" s="41">
        <v>99</v>
      </c>
      <c r="K22" s="42">
        <f t="shared" si="0"/>
        <v>0.99527653298946295</v>
      </c>
    </row>
    <row r="23" spans="1:23" x14ac:dyDescent="0.25">
      <c r="A23" s="4">
        <v>1</v>
      </c>
      <c r="B23" s="4" t="s">
        <v>23</v>
      </c>
      <c r="C23" s="31" t="s">
        <v>114</v>
      </c>
      <c r="D23" s="32" t="s">
        <v>113</v>
      </c>
      <c r="E23" s="4">
        <v>0.3</v>
      </c>
      <c r="F23" s="33">
        <v>0.97789999999999999</v>
      </c>
      <c r="G23" s="4">
        <v>0.7</v>
      </c>
      <c r="H23" s="33">
        <v>1</v>
      </c>
      <c r="I23" s="4">
        <v>0</v>
      </c>
      <c r="J23" s="34">
        <v>99</v>
      </c>
      <c r="K23" s="35">
        <f t="shared" si="0"/>
        <v>0.99326582227052507</v>
      </c>
    </row>
    <row r="24" spans="1:23" x14ac:dyDescent="0.25">
      <c r="A24" s="4">
        <v>2</v>
      </c>
      <c r="B24" s="4" t="s">
        <v>24</v>
      </c>
      <c r="C24" s="31" t="s">
        <v>115</v>
      </c>
      <c r="D24" s="32" t="s">
        <v>113</v>
      </c>
      <c r="E24" s="4">
        <v>0.4</v>
      </c>
      <c r="F24" s="33">
        <v>0.97789999999999999</v>
      </c>
      <c r="G24" s="4">
        <v>0.6</v>
      </c>
      <c r="H24" s="33">
        <v>1</v>
      </c>
      <c r="I24" s="4">
        <v>0</v>
      </c>
      <c r="J24" s="34">
        <v>99</v>
      </c>
      <c r="K24" s="35">
        <f>1/(E24/F24+G24/H24+I24/J24)</f>
        <v>0.99104120639682181</v>
      </c>
    </row>
    <row r="25" spans="1:23" x14ac:dyDescent="0.25">
      <c r="A25" s="4">
        <v>3</v>
      </c>
      <c r="B25" s="4" t="s">
        <v>25</v>
      </c>
      <c r="C25" s="31" t="s">
        <v>116</v>
      </c>
      <c r="D25" s="32" t="s">
        <v>113</v>
      </c>
      <c r="E25" s="4">
        <v>0.85</v>
      </c>
      <c r="F25" s="33">
        <v>0.97789999999999999</v>
      </c>
      <c r="G25" s="4">
        <v>0.15</v>
      </c>
      <c r="H25" s="33">
        <v>1</v>
      </c>
      <c r="I25" s="4">
        <v>0</v>
      </c>
      <c r="J25" s="34">
        <v>99</v>
      </c>
      <c r="K25" s="35">
        <f t="shared" si="0"/>
        <v>0.98115252060580838</v>
      </c>
    </row>
    <row r="26" spans="1:23" x14ac:dyDescent="0.25">
      <c r="A26" s="4">
        <v>4</v>
      </c>
      <c r="B26" s="4" t="s">
        <v>26</v>
      </c>
      <c r="C26" s="43" t="s">
        <v>117</v>
      </c>
      <c r="D26" s="44" t="s">
        <v>113</v>
      </c>
      <c r="E26" s="45">
        <v>0.3</v>
      </c>
      <c r="F26" s="46">
        <v>0.97789999999999999</v>
      </c>
      <c r="G26" s="47">
        <v>0.7</v>
      </c>
      <c r="H26" s="48">
        <v>1.4005000000000001</v>
      </c>
      <c r="I26" s="45">
        <v>0</v>
      </c>
      <c r="J26" s="48">
        <v>99</v>
      </c>
      <c r="K26" s="49">
        <f t="shared" si="0"/>
        <v>1.2397698428504182</v>
      </c>
    </row>
    <row r="27" spans="1:23" ht="15.75" thickBot="1" x14ac:dyDescent="0.3">
      <c r="A27" s="4">
        <v>0</v>
      </c>
      <c r="B27" s="4" t="s">
        <v>28</v>
      </c>
      <c r="C27" s="31" t="s">
        <v>118</v>
      </c>
      <c r="D27" s="50" t="s">
        <v>119</v>
      </c>
      <c r="E27" s="4">
        <v>1</v>
      </c>
      <c r="F27" s="33">
        <v>1</v>
      </c>
      <c r="G27" s="3"/>
      <c r="H27" s="34"/>
      <c r="I27" s="4"/>
      <c r="J27" s="34"/>
      <c r="K27" s="35">
        <v>1</v>
      </c>
    </row>
    <row r="28" spans="1:23" ht="16.5" thickTop="1" thickBot="1" x14ac:dyDescent="0.3">
      <c r="A28" s="4">
        <v>1</v>
      </c>
      <c r="B28" s="4" t="s">
        <v>29</v>
      </c>
      <c r="C28" s="51" t="s">
        <v>120</v>
      </c>
      <c r="D28" s="50" t="s">
        <v>119</v>
      </c>
      <c r="E28" s="52">
        <v>1</v>
      </c>
      <c r="F28" s="53">
        <v>1.4005000000000001</v>
      </c>
      <c r="G28" s="54">
        <v>0</v>
      </c>
      <c r="H28" s="55">
        <v>99</v>
      </c>
      <c r="I28" s="54">
        <v>0</v>
      </c>
      <c r="J28" s="55">
        <v>99</v>
      </c>
      <c r="K28" s="56">
        <f t="shared" si="0"/>
        <v>1.4005000000000001</v>
      </c>
    </row>
    <row r="29" spans="1:23" ht="15.75" thickTop="1" x14ac:dyDescent="0.25">
      <c r="A29" s="57" t="s">
        <v>121</v>
      </c>
    </row>
    <row r="31" spans="1:23" x14ac:dyDescent="0.25">
      <c r="A31" t="s">
        <v>122</v>
      </c>
      <c r="B31">
        <v>22</v>
      </c>
      <c r="D31" s="18"/>
      <c r="E31" s="3"/>
      <c r="F31" s="3"/>
      <c r="G31" s="3"/>
      <c r="H31" s="3"/>
      <c r="J31" s="18"/>
      <c r="K31" s="3"/>
      <c r="L31" s="3"/>
      <c r="M31" s="3"/>
      <c r="O31" s="58"/>
      <c r="P31" s="58"/>
      <c r="Q31" s="58"/>
      <c r="R31" s="58"/>
      <c r="S31" s="58"/>
      <c r="T31" s="58"/>
      <c r="U31" s="58"/>
      <c r="V31" s="58"/>
      <c r="W31" s="58"/>
    </row>
    <row r="32" spans="1:23" x14ac:dyDescent="0.25">
      <c r="A32" t="s">
        <v>9</v>
      </c>
      <c r="B32">
        <f>(273.15/(273.15+B31))</f>
        <v>0.92546162967982382</v>
      </c>
      <c r="D32" s="3"/>
      <c r="E32" s="3"/>
      <c r="F32" s="3"/>
      <c r="G32" s="3"/>
      <c r="H32" s="3"/>
      <c r="J32" s="3"/>
      <c r="K32" s="3"/>
      <c r="L32" s="3"/>
      <c r="M32" s="3"/>
      <c r="O32" s="58"/>
      <c r="P32" s="58"/>
      <c r="Q32" s="58"/>
      <c r="R32" s="58"/>
      <c r="S32" s="58"/>
      <c r="T32" s="58"/>
      <c r="U32" s="58"/>
      <c r="V32" s="58"/>
      <c r="W32" s="58"/>
    </row>
    <row r="33" spans="1:23" x14ac:dyDescent="0.25">
      <c r="A33" t="s">
        <v>4</v>
      </c>
      <c r="B33">
        <v>60</v>
      </c>
      <c r="D33" s="3"/>
      <c r="E33" s="3"/>
      <c r="F33" s="3"/>
      <c r="G33" s="3"/>
      <c r="H33" s="3"/>
      <c r="J33" s="3"/>
      <c r="K33" s="3"/>
      <c r="L33" s="3"/>
      <c r="M33" s="3"/>
      <c r="O33" s="59"/>
      <c r="P33" s="59"/>
      <c r="Q33" s="59"/>
      <c r="R33" s="59"/>
      <c r="S33" s="59"/>
      <c r="T33" s="59"/>
      <c r="U33" s="58"/>
      <c r="V33" s="58"/>
      <c r="W33" s="58"/>
    </row>
    <row r="34" spans="1:23" x14ac:dyDescent="0.25">
      <c r="A34" t="s">
        <v>5</v>
      </c>
      <c r="B34">
        <v>1000</v>
      </c>
      <c r="D34" s="3"/>
      <c r="E34" s="3"/>
      <c r="F34" s="3"/>
      <c r="G34" s="3"/>
      <c r="H34" s="3"/>
      <c r="J34" s="18"/>
      <c r="K34" s="3"/>
      <c r="L34" s="3"/>
      <c r="M34" s="3"/>
      <c r="O34" s="58"/>
      <c r="P34" s="60"/>
      <c r="Q34" s="58"/>
      <c r="R34" s="58"/>
      <c r="S34" s="58"/>
      <c r="T34" s="58"/>
      <c r="U34" s="58"/>
      <c r="V34" s="58"/>
      <c r="W34" s="58"/>
    </row>
    <row r="35" spans="1:23" x14ac:dyDescent="0.25">
      <c r="A35" t="s">
        <v>6</v>
      </c>
      <c r="B35">
        <v>10000</v>
      </c>
      <c r="D35" s="18" t="s">
        <v>136</v>
      </c>
      <c r="E35" s="3"/>
      <c r="F35" s="3"/>
      <c r="G35" s="3"/>
      <c r="H35" s="3"/>
      <c r="J35" s="3"/>
      <c r="K35" s="3"/>
      <c r="L35" s="3"/>
      <c r="M35" s="3"/>
    </row>
    <row r="36" spans="1:23" x14ac:dyDescent="0.25">
      <c r="D36" s="3" t="s">
        <v>62</v>
      </c>
      <c r="E36" s="3"/>
      <c r="F36" s="3">
        <v>1</v>
      </c>
      <c r="G36" s="3"/>
      <c r="H36" s="3">
        <v>0</v>
      </c>
      <c r="J36" s="3"/>
      <c r="K36" s="3"/>
      <c r="L36" s="3"/>
      <c r="M36" s="3"/>
    </row>
    <row r="37" spans="1:23" x14ac:dyDescent="0.25">
      <c r="D37" s="3" t="s">
        <v>63</v>
      </c>
      <c r="E37" s="3"/>
      <c r="F37" s="3">
        <v>1</v>
      </c>
      <c r="G37" s="3"/>
      <c r="H37" s="3">
        <v>0</v>
      </c>
      <c r="J37" s="3"/>
      <c r="K37" s="3"/>
      <c r="L37" s="3"/>
      <c r="M37" s="3"/>
    </row>
    <row r="38" spans="1:23" x14ac:dyDescent="0.25">
      <c r="D38" s="3" t="s">
        <v>64</v>
      </c>
      <c r="E38" s="3"/>
      <c r="F38" s="3">
        <v>1</v>
      </c>
      <c r="G38" s="3"/>
      <c r="H38" s="3">
        <v>0</v>
      </c>
      <c r="J38" s="3"/>
      <c r="K38" s="3"/>
      <c r="L38" s="3"/>
      <c r="M38" s="61"/>
    </row>
    <row r="39" spans="1:23" x14ac:dyDescent="0.25">
      <c r="D39" s="3" t="s">
        <v>18</v>
      </c>
      <c r="E39" s="3" t="s">
        <v>124</v>
      </c>
      <c r="F39" s="5">
        <f>PI()/4*((0.085*0.0254)^2)</f>
        <v>3.6609615364794206E-6</v>
      </c>
      <c r="G39" s="3" t="s">
        <v>125</v>
      </c>
      <c r="H39" s="3">
        <f>((PI()/4*((0.984*0.0254)^2))-((PI()/4*((0.095*0.0254)^2))))</f>
        <v>4.8604952188217176E-4</v>
      </c>
      <c r="J39" s="3"/>
      <c r="K39" s="3"/>
      <c r="L39" s="3"/>
      <c r="M39" s="61"/>
    </row>
    <row r="40" spans="1:23" x14ac:dyDescent="0.25">
      <c r="D40" s="3" t="s">
        <v>65</v>
      </c>
      <c r="E40" s="3"/>
      <c r="F40" s="5">
        <f>PI()/4*((1.3*0.001)^2)</f>
        <v>1.3273228961416879E-6</v>
      </c>
      <c r="G40" s="3"/>
      <c r="H40" s="3">
        <v>0</v>
      </c>
    </row>
    <row r="41" spans="1:23" x14ac:dyDescent="0.25">
      <c r="D41" s="3" t="s">
        <v>67</v>
      </c>
      <c r="E41" s="3"/>
      <c r="F41" s="5">
        <f>PI()/4*((2.1*0.001)^2)</f>
        <v>3.4636059005827476E-6</v>
      </c>
      <c r="G41" s="3"/>
      <c r="H41" s="3">
        <v>0</v>
      </c>
    </row>
    <row r="42" spans="1:23" x14ac:dyDescent="0.25">
      <c r="D42" s="3" t="s">
        <v>123</v>
      </c>
      <c r="E42" s="3"/>
      <c r="F42" s="61">
        <f>PI()/4*((25*0.001)^2)</f>
        <v>4.9087385212340522E-4</v>
      </c>
      <c r="G42" s="3"/>
      <c r="H42" s="3">
        <v>0</v>
      </c>
    </row>
    <row r="43" spans="1:23" x14ac:dyDescent="0.25">
      <c r="D43" s="3" t="s">
        <v>126</v>
      </c>
      <c r="E43" s="3"/>
      <c r="F43" s="61">
        <f>PI()/4*((50*0.001)^2)</f>
        <v>1.9634954084936209E-3</v>
      </c>
      <c r="G43" s="3"/>
      <c r="H4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HeaderTables</vt:lpstr>
      <vt:lpstr>Tables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FCF OPS</dc:creator>
  <cp:lastModifiedBy>FCF OPS</cp:lastModifiedBy>
  <dcterms:created xsi:type="dcterms:W3CDTF">2017-11-29T20:41:21Z</dcterms:created>
  <dcterms:modified xsi:type="dcterms:W3CDTF">2018-03-02T20:37:16Z</dcterms:modified>
</cp:coreProperties>
</file>