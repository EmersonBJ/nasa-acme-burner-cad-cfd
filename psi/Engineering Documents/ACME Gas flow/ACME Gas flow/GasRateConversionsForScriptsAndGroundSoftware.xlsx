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gersj\Software\ACME\notes\Experiments\"/>
    </mc:Choice>
  </mc:AlternateContent>
  <bookViews>
    <workbookView xWindow="0" yWindow="0" windowWidth="24975" windowHeight="12150"/>
  </bookViews>
  <sheets>
    <sheet name="CLD Flame, E-Field, S-Flame" sheetId="2" r:id="rId1"/>
    <sheet name="BRE" sheetId="3" r:id="rId2"/>
    <sheet name="Flame Design" sheetId="4" r:id="rId3"/>
    <sheet name="Tables" sheetId="1" r:id="rId4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4" l="1"/>
  <c r="E13" i="4"/>
  <c r="E11" i="4"/>
  <c r="D11" i="4"/>
  <c r="B9" i="4"/>
  <c r="C11" i="4"/>
  <c r="C13" i="4"/>
  <c r="B11" i="4"/>
  <c r="G5" i="4"/>
  <c r="G6" i="4"/>
  <c r="B9" i="3"/>
  <c r="E11" i="2"/>
  <c r="B9" i="2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C20" i="4"/>
  <c r="D13" i="4"/>
  <c r="B20" i="4"/>
  <c r="B13" i="4"/>
  <c r="D20" i="4"/>
  <c r="B11" i="3"/>
  <c r="C11" i="3"/>
  <c r="M37" i="1"/>
  <c r="C7" i="3"/>
  <c r="E16" i="3"/>
  <c r="C16" i="3"/>
  <c r="D16" i="3"/>
  <c r="E7" i="2"/>
  <c r="F40" i="1"/>
  <c r="C7" i="2"/>
  <c r="M38" i="1"/>
  <c r="H38" i="1"/>
  <c r="F39" i="1"/>
  <c r="F38" i="1"/>
  <c r="B31" i="1"/>
  <c r="B7" i="3"/>
  <c r="E9" i="2"/>
  <c r="B16" i="2"/>
  <c r="B7" i="2"/>
  <c r="C9" i="2"/>
  <c r="C11" i="2"/>
  <c r="C16" i="2"/>
  <c r="B11" i="2"/>
  <c r="D16" i="2"/>
</calcChain>
</file>

<file path=xl/sharedStrings.xml><?xml version="1.0" encoding="utf-8"?>
<sst xmlns="http://schemas.openxmlformats.org/spreadsheetml/2006/main" count="182" uniqueCount="112">
  <si>
    <t>Gas Bottle</t>
  </si>
  <si>
    <t>CH4/N2 40/60%</t>
  </si>
  <si>
    <t>CH4/N2 30/70%</t>
  </si>
  <si>
    <t>C2H4/N2 50/50%</t>
  </si>
  <si>
    <t>C2H4 100%</t>
  </si>
  <si>
    <t>CH4 100%</t>
  </si>
  <si>
    <t>H2/CH4 55.6/44.4%</t>
  </si>
  <si>
    <t>H2/CH4 44.4/55.6%</t>
  </si>
  <si>
    <t>H2/CH4 66.7/33.3%</t>
  </si>
  <si>
    <t>H2 100%</t>
  </si>
  <si>
    <t>H2/CH4/He 25/20/55%</t>
  </si>
  <si>
    <t>H2/CH4/He 20/25/55%</t>
  </si>
  <si>
    <t>H2/CH4/He 30/15/55%</t>
  </si>
  <si>
    <t>H2/He 45/55%</t>
  </si>
  <si>
    <t>CH4/He 45/55%</t>
  </si>
  <si>
    <t>First Gas</t>
  </si>
  <si>
    <t>Second Gas</t>
  </si>
  <si>
    <t>Third Gas</t>
  </si>
  <si>
    <t>Conc</t>
  </si>
  <si>
    <t>INPUT</t>
  </si>
  <si>
    <t>Burner</t>
  </si>
  <si>
    <t>O2/N2 21/79%</t>
  </si>
  <si>
    <t>O2/N2 85/15%</t>
  </si>
  <si>
    <t>O2/N2 30/70%</t>
  </si>
  <si>
    <t>C2H4/N2 30/70%</t>
  </si>
  <si>
    <t>CH4/N2 45/55%</t>
  </si>
  <si>
    <t>C2H4/He 20/80%</t>
  </si>
  <si>
    <t>C2H4/He 25/75%</t>
  </si>
  <si>
    <t>C2H4/He 30/70%</t>
  </si>
  <si>
    <t>Manifold</t>
  </si>
  <si>
    <t>4 - Fuel</t>
  </si>
  <si>
    <t>2 - Oxygen</t>
  </si>
  <si>
    <t>O2/N2 40/60%</t>
  </si>
  <si>
    <t>O2/He 30/70%</t>
  </si>
  <si>
    <t>1 - Diluent</t>
  </si>
  <si>
    <t>He 100%</t>
  </si>
  <si>
    <t>Temperature C</t>
  </si>
  <si>
    <t>Temperature Factor</t>
  </si>
  <si>
    <t>seconds/min</t>
  </si>
  <si>
    <t>cm3 / liter</t>
  </si>
  <si>
    <t>cm2 / m2</t>
  </si>
  <si>
    <t>GCF</t>
  </si>
  <si>
    <t>Burner Area (m2)</t>
  </si>
  <si>
    <t>Gas Jet 1.3mm</t>
  </si>
  <si>
    <t>Spherical 1/2</t>
  </si>
  <si>
    <t>Spherical 1/4</t>
  </si>
  <si>
    <t>Spherical 3/8</t>
  </si>
  <si>
    <t>Coflow</t>
  </si>
  <si>
    <t>Gas Jet 2.1mm</t>
  </si>
  <si>
    <t>BRE 25mm</t>
  </si>
  <si>
    <t>BRE 50mm</t>
  </si>
  <si>
    <t>Outer</t>
  </si>
  <si>
    <t>INTERMEDIATE</t>
  </si>
  <si>
    <t>Fuel (slpm N2-based)</t>
  </si>
  <si>
    <t>Inert (slpm N2-based)</t>
  </si>
  <si>
    <t>Velocity (cm/s)</t>
  </si>
  <si>
    <t>First Reactant Fraction</t>
  </si>
  <si>
    <t>Bottle Gas 1 Fraction</t>
  </si>
  <si>
    <t>Burner First Reactant Fraction</t>
  </si>
  <si>
    <t>RESULTS</t>
  </si>
  <si>
    <t>Experiment Type</t>
  </si>
  <si>
    <t>Flame Design</t>
  </si>
  <si>
    <t>E-Field</t>
  </si>
  <si>
    <t>BRE</t>
  </si>
  <si>
    <t>Fuel Gas Bottle</t>
  </si>
  <si>
    <t>Oxidizer Gas Bottle</t>
  </si>
  <si>
    <t>Primary Velocity (cm/s)</t>
  </si>
  <si>
    <t>Coflow Velocity (cm/s)</t>
  </si>
  <si>
    <t>velocity-based Experiments</t>
  </si>
  <si>
    <t>S-Flame</t>
  </si>
  <si>
    <t>mass-based Experiments</t>
  </si>
  <si>
    <t>MFCA2</t>
  </si>
  <si>
    <t>MFCA3</t>
  </si>
  <si>
    <t>MFCA1</t>
  </si>
  <si>
    <t>Oxidizer(slpm N2-based)</t>
  </si>
  <si>
    <t>Outer coflow Area (m2)</t>
  </si>
  <si>
    <t>Fuel GCF</t>
  </si>
  <si>
    <t>Oxidizer GCF</t>
  </si>
  <si>
    <t>velocity-based Burner Areas (m2)</t>
  </si>
  <si>
    <t>mass-based Burner Areas (m2)</t>
  </si>
  <si>
    <t>Inner</t>
  </si>
  <si>
    <t>Fuel + Inert (actual gas)</t>
  </si>
  <si>
    <t>Fuel (actual gas)</t>
  </si>
  <si>
    <t>Inert (actual gas)</t>
  </si>
  <si>
    <t>Oxidizer (actual gas)</t>
  </si>
  <si>
    <t>Burner mass flow (slpm)</t>
  </si>
  <si>
    <t>Fuel (slpm actual gas)</t>
  </si>
  <si>
    <t>Inert (slpm actual gas)</t>
  </si>
  <si>
    <t>Inert GCF</t>
  </si>
  <si>
    <t>Ethylene density and conversion factors are from Hastings data (see other tab)</t>
  </si>
  <si>
    <t>Ethylene heat capacity above is for ~20 C and not 0 C and is from (copied 2012-APR-11):</t>
  </si>
  <si>
    <t>http://www.engineeringtoolbox.com/spesific-heat-capacity-gases-d_159.html</t>
  </si>
  <si>
    <t>P0 (atm) (for velocity calculation)</t>
  </si>
  <si>
    <t>Fuel or Oxidizer?</t>
  </si>
  <si>
    <t>Fuel</t>
  </si>
  <si>
    <t>Oxidizer</t>
  </si>
  <si>
    <t>Mass Rate (slpm actual gas)</t>
  </si>
  <si>
    <t>Fuel or Oxidizer Bottle</t>
  </si>
  <si>
    <t>Fuel (slpm N2-basis)</t>
  </si>
  <si>
    <t>Inert(slpm actual gas)</t>
  </si>
  <si>
    <t>Inert (slpm N2-basis)</t>
  </si>
  <si>
    <t>Oxidizer (slpm actual)</t>
  </si>
  <si>
    <t>Oxidizer (slpm N2-basis)</t>
  </si>
  <si>
    <t>Inert for O2 (slpm actual)</t>
  </si>
  <si>
    <t>Inert for O2 (slpm N2-basis)</t>
  </si>
  <si>
    <t>Mixture Gas</t>
  </si>
  <si>
    <t>Correction Factor</t>
  </si>
  <si>
    <t>99 means n/a</t>
  </si>
  <si>
    <t>C2H4</t>
  </si>
  <si>
    <t>O2 = 3*C2H4</t>
  </si>
  <si>
    <t>For reference, mass rate values from matrix:</t>
  </si>
  <si>
    <t>Bottle GCF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</si>
</sst>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0" xfId="0" applyFill="1" applyBorder="1"/>
    <xf numFmtId="0" fontId="0" fillId="0" borderId="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Fill="1" applyBorder="1"/>
    <xf numFmtId="0" fontId="0" fillId="0" borderId="14" xfId="0" applyFill="1" applyBorder="1"/>
    <xf numFmtId="0" fontId="0" fillId="0" borderId="11" xfId="0" applyFill="1" applyBorder="1"/>
    <xf numFmtId="0" fontId="0" fillId="0" borderId="12" xfId="0" applyFill="1" applyBorder="1"/>
    <xf numFmtId="11" fontId="0" fillId="0" borderId="0" xfId="0" applyNumberFormat="1" applyBorder="1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/>
    <xf numFmtId="0" fontId="1" fillId="0" borderId="9" xfId="0" applyFont="1" applyBorder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3" fillId="5" borderId="0" xfId="1" applyFill="1" applyAlignment="1" applyProtection="1"/>
    <xf numFmtId="0" fontId="0" fillId="0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Fill="1" applyBorder="1"/>
    <xf numFmtId="0" fontId="0" fillId="0" borderId="10" xfId="0" applyFill="1" applyBorder="1"/>
    <xf numFmtId="0" fontId="4" fillId="0" borderId="1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0" fillId="0" borderId="15" xfId="0" applyFill="1" applyBorder="1"/>
    <xf numFmtId="0" fontId="0" fillId="0" borderId="16" xfId="0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0" fillId="0" borderId="20" xfId="0" applyBorder="1"/>
    <xf numFmtId="0" fontId="1" fillId="0" borderId="21" xfId="0" applyFont="1" applyBorder="1"/>
    <xf numFmtId="0" fontId="0" fillId="0" borderId="22" xfId="0" applyBorder="1"/>
    <xf numFmtId="0" fontId="1" fillId="0" borderId="23" xfId="0" applyFont="1" applyFill="1" applyBorder="1"/>
    <xf numFmtId="0" fontId="0" fillId="0" borderId="24" xfId="0" applyFill="1" applyBorder="1"/>
    <xf numFmtId="0" fontId="0" fillId="0" borderId="25" xfId="0" applyBorder="1"/>
    <xf numFmtId="0" fontId="0" fillId="0" borderId="26" xfId="0" applyFill="1" applyBorder="1"/>
    <xf numFmtId="0" fontId="0" fillId="0" borderId="27" xfId="0" applyBorder="1"/>
    <xf numFmtId="0" fontId="0" fillId="0" borderId="28" xfId="0" applyFill="1" applyBorder="1"/>
    <xf numFmtId="0" fontId="0" fillId="0" borderId="29" xfId="0" applyBorder="1"/>
    <xf numFmtId="0" fontId="0" fillId="0" borderId="30" xfId="0" applyFill="1" applyBorder="1"/>
    <xf numFmtId="0" fontId="0" fillId="0" borderId="31" xfId="0" applyFill="1" applyBorder="1"/>
    <xf numFmtId="0" fontId="0" fillId="0" borderId="32" xfId="0" applyBorder="1"/>
    <xf numFmtId="0" fontId="0" fillId="0" borderId="33" xfId="0" applyFill="1" applyBorder="1"/>
    <xf numFmtId="0" fontId="0" fillId="0" borderId="32" xfId="0" applyFill="1" applyBorder="1"/>
    <xf numFmtId="0" fontId="0" fillId="0" borderId="33" xfId="0" applyBorder="1"/>
    <xf numFmtId="0" fontId="0" fillId="0" borderId="3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ngineeringtoolbox.com/spesific-heat-capacity-gases-d_1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17" sqref="F17"/>
    </sheetView>
  </sheetViews>
  <sheetFormatPr defaultRowHeight="15" x14ac:dyDescent="0.25"/>
  <cols>
    <col min="1" max="1" width="14.140625" bestFit="1" customWidth="1"/>
    <col min="2" max="2" width="23.42578125" bestFit="1" customWidth="1"/>
    <col min="3" max="3" width="20.5703125" bestFit="1" customWidth="1"/>
    <col min="4" max="4" width="20.140625" bestFit="1" customWidth="1"/>
    <col min="5" max="5" width="19.42578125" customWidth="1"/>
    <col min="6" max="6" width="12.140625" customWidth="1"/>
    <col min="7" max="7" width="12.5703125" customWidth="1"/>
    <col min="8" max="8" width="10.28515625" customWidth="1"/>
  </cols>
  <sheetData>
    <row r="1" spans="1:8" ht="49.5" customHeight="1" x14ac:dyDescent="0.25">
      <c r="A1" t="s">
        <v>19</v>
      </c>
      <c r="B1" s="23" t="s">
        <v>60</v>
      </c>
      <c r="C1" s="23" t="s">
        <v>20</v>
      </c>
      <c r="D1" s="23" t="s">
        <v>64</v>
      </c>
      <c r="E1" s="24" t="s">
        <v>65</v>
      </c>
      <c r="F1" s="24" t="s">
        <v>58</v>
      </c>
      <c r="G1" s="24" t="s">
        <v>66</v>
      </c>
      <c r="H1" s="24" t="s">
        <v>67</v>
      </c>
    </row>
    <row r="2" spans="1:8" x14ac:dyDescent="0.25">
      <c r="B2" s="22" t="s">
        <v>47</v>
      </c>
      <c r="C2" s="22" t="s">
        <v>47</v>
      </c>
      <c r="D2" s="22" t="s">
        <v>1</v>
      </c>
      <c r="E2" s="22" t="s">
        <v>21</v>
      </c>
      <c r="F2" s="22">
        <v>0.3</v>
      </c>
      <c r="G2" s="22">
        <v>50</v>
      </c>
      <c r="H2" s="20">
        <v>50</v>
      </c>
    </row>
    <row r="5" spans="1:8" x14ac:dyDescent="0.25">
      <c r="A5" t="s">
        <v>52</v>
      </c>
    </row>
    <row r="6" spans="1:8" x14ac:dyDescent="0.25">
      <c r="B6" t="s">
        <v>57</v>
      </c>
      <c r="C6" t="s">
        <v>42</v>
      </c>
      <c r="E6" t="s">
        <v>75</v>
      </c>
    </row>
    <row r="7" spans="1:8" x14ac:dyDescent="0.25">
      <c r="B7">
        <f>VLOOKUP(D2,Tables!A3:C27,3,FALSE)</f>
        <v>0.4</v>
      </c>
      <c r="C7">
        <f>VLOOKUP(C2,Tables!D35:H40,3,FALSE)</f>
        <v>3.6609615364794206E-6</v>
      </c>
      <c r="E7">
        <f>VLOOKUP(C2,Tables!D35:H40,5,FALSE)</f>
        <v>4.8604952188217176E-4</v>
      </c>
    </row>
    <row r="8" spans="1:8" x14ac:dyDescent="0.25">
      <c r="B8" t="s">
        <v>76</v>
      </c>
      <c r="C8" t="s">
        <v>81</v>
      </c>
      <c r="E8" t="s">
        <v>84</v>
      </c>
    </row>
    <row r="9" spans="1:8" x14ac:dyDescent="0.25">
      <c r="B9">
        <f>VLOOKUP(D2,Tables!A3:I27,9,FALSE)</f>
        <v>0.89792670833237231</v>
      </c>
      <c r="C9">
        <f>G2*Tables!B31*C7*Tables!B32/Tables!B33*Tables!B34</f>
        <v>0.10061965222431865</v>
      </c>
      <c r="E9">
        <f>H2*Tables!B31*'CLD Flame, E-Field, S-Flame'!E7*Tables!B32/Tables!B33*Tables!B34</f>
        <v>13.358822093119088</v>
      </c>
    </row>
    <row r="10" spans="1:8" x14ac:dyDescent="0.25">
      <c r="B10" t="s">
        <v>82</v>
      </c>
      <c r="C10" t="s">
        <v>83</v>
      </c>
      <c r="E10" t="s">
        <v>77</v>
      </c>
    </row>
    <row r="11" spans="1:8" x14ac:dyDescent="0.25">
      <c r="B11">
        <f>C9*F2/B7</f>
        <v>7.5464739168238981E-2</v>
      </c>
      <c r="C11">
        <f>(1-F2/B7)*C9</f>
        <v>2.5154913056079673E-2</v>
      </c>
      <c r="E11">
        <f>VLOOKUP(E2,Tables!A22:I27,9,FALSE)</f>
        <v>0.99527653298946295</v>
      </c>
    </row>
    <row r="14" spans="1:8" x14ac:dyDescent="0.25">
      <c r="A14" t="s">
        <v>59</v>
      </c>
      <c r="B14" s="23" t="s">
        <v>73</v>
      </c>
      <c r="C14" s="23" t="s">
        <v>71</v>
      </c>
      <c r="D14" s="23" t="s">
        <v>72</v>
      </c>
    </row>
    <row r="15" spans="1:8" x14ac:dyDescent="0.25">
      <c r="B15" s="23" t="s">
        <v>74</v>
      </c>
      <c r="C15" s="23" t="s">
        <v>54</v>
      </c>
      <c r="D15" s="23" t="s">
        <v>53</v>
      </c>
    </row>
    <row r="16" spans="1:8" x14ac:dyDescent="0.25">
      <c r="B16" s="33">
        <f>E9/E11</f>
        <v>13.422221513646919</v>
      </c>
      <c r="C16" s="33">
        <f>C11</f>
        <v>2.5154913056079673E-2</v>
      </c>
      <c r="D16" s="33">
        <f>B11/B9</f>
        <v>8.4043317197226422E-2</v>
      </c>
    </row>
  </sheetData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Tables!$A$3:$A$21</xm:f>
          </x14:formula1>
          <xm:sqref>D2</xm:sqref>
        </x14:dataValidation>
        <x14:dataValidation type="list" allowBlank="1" showInputMessage="1" showErrorMessage="1">
          <x14:formula1>
            <xm:f>Tables!$A$22:$A$26</xm:f>
          </x14:formula1>
          <xm:sqref>E2</xm:sqref>
        </x14:dataValidation>
        <x14:dataValidation type="list" allowBlank="1" showInputMessage="1" showErrorMessage="1">
          <x14:formula1>
            <xm:f>Tables!$D$35:$D$40</xm:f>
          </x14:formula1>
          <xm:sqref>C2</xm:sqref>
        </x14:dataValidation>
        <x14:dataValidation type="list" allowBlank="1" showInputMessage="1" showErrorMessage="1">
          <x14:formula1>
            <xm:f>Tables!$D$31:$D$33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10" sqref="E10"/>
    </sheetView>
  </sheetViews>
  <sheetFormatPr defaultRowHeight="15" x14ac:dyDescent="0.25"/>
  <cols>
    <col min="1" max="1" width="14.140625" bestFit="1" customWidth="1"/>
    <col min="2" max="2" width="23.42578125" bestFit="1" customWidth="1"/>
    <col min="3" max="3" width="20.5703125" bestFit="1" customWidth="1"/>
    <col min="4" max="4" width="20.140625" bestFit="1" customWidth="1"/>
    <col min="5" max="5" width="19.42578125" customWidth="1"/>
    <col min="6" max="6" width="12.140625" customWidth="1"/>
    <col min="7" max="7" width="12.5703125" customWidth="1"/>
    <col min="8" max="8" width="12.140625" customWidth="1"/>
  </cols>
  <sheetData>
    <row r="1" spans="1:7" ht="81" customHeight="1" x14ac:dyDescent="0.25">
      <c r="A1" t="s">
        <v>19</v>
      </c>
      <c r="B1" s="23" t="s">
        <v>60</v>
      </c>
      <c r="C1" s="23" t="s">
        <v>20</v>
      </c>
      <c r="D1" s="23" t="s">
        <v>64</v>
      </c>
      <c r="E1" s="24" t="s">
        <v>58</v>
      </c>
      <c r="F1" s="24" t="s">
        <v>85</v>
      </c>
      <c r="G1" s="24" t="s">
        <v>92</v>
      </c>
    </row>
    <row r="2" spans="1:7" x14ac:dyDescent="0.25">
      <c r="B2" s="22" t="s">
        <v>63</v>
      </c>
      <c r="C2" s="22" t="s">
        <v>49</v>
      </c>
      <c r="D2" s="22" t="s">
        <v>4</v>
      </c>
      <c r="E2" s="22">
        <v>0.75</v>
      </c>
      <c r="F2" s="22">
        <v>0.2</v>
      </c>
      <c r="G2" s="20">
        <v>2</v>
      </c>
    </row>
    <row r="5" spans="1:7" x14ac:dyDescent="0.25">
      <c r="A5" t="s">
        <v>52</v>
      </c>
    </row>
    <row r="6" spans="1:7" x14ac:dyDescent="0.25">
      <c r="B6" t="s">
        <v>57</v>
      </c>
      <c r="C6" t="s">
        <v>42</v>
      </c>
    </row>
    <row r="7" spans="1:7" x14ac:dyDescent="0.25">
      <c r="B7">
        <f>VLOOKUP(D2,Tables!A3:C27,3,FALSE)</f>
        <v>1</v>
      </c>
      <c r="C7">
        <f>VLOOKUP(C2,Tables!J34:M38,4,FALSE)</f>
        <v>4.9087385212340522E-4</v>
      </c>
    </row>
    <row r="8" spans="1:7" x14ac:dyDescent="0.25">
      <c r="B8" t="s">
        <v>76</v>
      </c>
      <c r="C8" t="s">
        <v>88</v>
      </c>
    </row>
    <row r="9" spans="1:7" x14ac:dyDescent="0.25">
      <c r="B9">
        <f>VLOOKUP(D2,Tables!A3:I27,9,FALSE)</f>
        <v>0.60619999999999996</v>
      </c>
      <c r="C9">
        <v>1</v>
      </c>
    </row>
    <row r="10" spans="1:7" x14ac:dyDescent="0.25">
      <c r="B10" t="s">
        <v>86</v>
      </c>
      <c r="C10" t="s">
        <v>87</v>
      </c>
    </row>
    <row r="11" spans="1:7" x14ac:dyDescent="0.25">
      <c r="B11">
        <f>F2/((1/B9)+((1/C9)*(1-E2)/E2))</f>
        <v>0.10085963063612667</v>
      </c>
      <c r="C11">
        <f>((1-E2)/E2)*B11</f>
        <v>3.361987687870889E-2</v>
      </c>
    </row>
    <row r="14" spans="1:7" x14ac:dyDescent="0.25">
      <c r="A14" t="s">
        <v>59</v>
      </c>
      <c r="B14" s="23" t="s">
        <v>73</v>
      </c>
      <c r="C14" s="23" t="s">
        <v>71</v>
      </c>
      <c r="D14" s="23" t="s">
        <v>72</v>
      </c>
      <c r="E14" s="32"/>
    </row>
    <row r="15" spans="1:7" x14ac:dyDescent="0.25">
      <c r="B15" s="23" t="s">
        <v>74</v>
      </c>
      <c r="C15" s="23" t="s">
        <v>54</v>
      </c>
      <c r="D15" s="23" t="s">
        <v>53</v>
      </c>
      <c r="E15" s="23" t="s">
        <v>55</v>
      </c>
    </row>
    <row r="16" spans="1:7" x14ac:dyDescent="0.25">
      <c r="B16" s="33">
        <v>0</v>
      </c>
      <c r="C16" s="33">
        <f>C11/C9</f>
        <v>3.361987687870889E-2</v>
      </c>
      <c r="D16" s="33">
        <f>B11/B9</f>
        <v>0.16638012312129111</v>
      </c>
      <c r="E16" s="33">
        <f>(B11+C11)/C7/Tables!B32*Tables!B33/G2/Tables!B34</f>
        <v>0.22829950256586418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Tables!$A$3:$A$21</xm:f>
          </x14:formula1>
          <xm:sqref>D2</xm:sqref>
        </x14:dataValidation>
        <x14:dataValidation type="list" allowBlank="1" showInputMessage="1" showErrorMessage="1">
          <x14:formula1>
            <xm:f>Tables!$J$37:$J$38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B11" sqref="B11"/>
    </sheetView>
  </sheetViews>
  <sheetFormatPr defaultRowHeight="15" x14ac:dyDescent="0.25"/>
  <cols>
    <col min="1" max="1" width="14.140625" bestFit="1" customWidth="1"/>
    <col min="2" max="2" width="23.42578125" bestFit="1" customWidth="1"/>
    <col min="3" max="3" width="20.5703125" bestFit="1" customWidth="1"/>
    <col min="4" max="4" width="20.140625" bestFit="1" customWidth="1"/>
    <col min="5" max="5" width="16.28515625" customWidth="1"/>
    <col min="6" max="6" width="15.7109375" customWidth="1"/>
    <col min="7" max="7" width="15.140625" bestFit="1" customWidth="1"/>
    <col min="8" max="8" width="12.5703125" customWidth="1"/>
    <col min="9" max="9" width="12.140625" customWidth="1"/>
  </cols>
  <sheetData>
    <row r="1" spans="1:8" ht="81" customHeight="1" x14ac:dyDescent="0.25">
      <c r="A1" t="s">
        <v>19</v>
      </c>
      <c r="B1" s="23" t="s">
        <v>60</v>
      </c>
      <c r="C1" s="23" t="s">
        <v>20</v>
      </c>
      <c r="D1" s="23" t="s">
        <v>93</v>
      </c>
      <c r="E1" s="24" t="s">
        <v>97</v>
      </c>
      <c r="F1" s="24" t="s">
        <v>96</v>
      </c>
      <c r="G1" s="24" t="s">
        <v>56</v>
      </c>
      <c r="H1" s="24"/>
    </row>
    <row r="2" spans="1:8" x14ac:dyDescent="0.25">
      <c r="B2" s="22" t="s">
        <v>61</v>
      </c>
      <c r="C2" s="22" t="s">
        <v>45</v>
      </c>
      <c r="D2" s="22" t="s">
        <v>95</v>
      </c>
      <c r="E2" s="22" t="s">
        <v>22</v>
      </c>
      <c r="F2" s="22">
        <v>0.21571903000000001</v>
      </c>
      <c r="G2" s="22">
        <v>0.21</v>
      </c>
      <c r="H2" s="31"/>
    </row>
    <row r="3" spans="1:8" x14ac:dyDescent="0.25">
      <c r="F3" s="32"/>
      <c r="G3" s="32"/>
    </row>
    <row r="4" spans="1:8" x14ac:dyDescent="0.25">
      <c r="F4" t="s">
        <v>110</v>
      </c>
      <c r="G4" s="24"/>
      <c r="H4" s="24"/>
    </row>
    <row r="5" spans="1:8" x14ac:dyDescent="0.25">
      <c r="F5" t="s">
        <v>108</v>
      </c>
      <c r="G5">
        <f>(0.0015*60/28.054)*(0.0820575*273.15)</f>
        <v>7.1906343168532116E-2</v>
      </c>
    </row>
    <row r="6" spans="1:8" x14ac:dyDescent="0.25">
      <c r="F6" t="s">
        <v>109</v>
      </c>
      <c r="G6">
        <f>3*G5</f>
        <v>0.21571902950559635</v>
      </c>
    </row>
    <row r="8" spans="1:8" x14ac:dyDescent="0.25">
      <c r="A8" t="s">
        <v>52</v>
      </c>
      <c r="B8" t="s">
        <v>57</v>
      </c>
      <c r="C8" t="s">
        <v>88</v>
      </c>
    </row>
    <row r="9" spans="1:8" x14ac:dyDescent="0.25">
      <c r="B9">
        <f>VLOOKUP(E2,Tables!A3:C27,3,FALSE)</f>
        <v>0.85</v>
      </c>
      <c r="C9">
        <f>VLOOKUP(E2,Tables!A3:I27,6,FALSE)</f>
        <v>1</v>
      </c>
    </row>
    <row r="10" spans="1:8" x14ac:dyDescent="0.25">
      <c r="B10" t="s">
        <v>111</v>
      </c>
      <c r="C10" t="s">
        <v>99</v>
      </c>
      <c r="D10" t="s">
        <v>101</v>
      </c>
      <c r="E10" t="s">
        <v>103</v>
      </c>
    </row>
    <row r="11" spans="1:8" x14ac:dyDescent="0.25">
      <c r="B11">
        <f>VLOOKUP(E2,Tables!A3:I27,9,FALSE)</f>
        <v>0.98115252060580838</v>
      </c>
      <c r="C11">
        <f>((B9-G2)/G2)*F2</f>
        <v>0.6574294247619048</v>
      </c>
      <c r="D11">
        <f>F2/B9</f>
        <v>0.25378709411764705</v>
      </c>
      <c r="E11">
        <f>((B9-G2)/G2)*D11</f>
        <v>0.77344638207282912</v>
      </c>
    </row>
    <row r="12" spans="1:8" x14ac:dyDescent="0.25">
      <c r="B12" t="s">
        <v>98</v>
      </c>
      <c r="C12" t="s">
        <v>100</v>
      </c>
      <c r="D12" t="s">
        <v>102</v>
      </c>
      <c r="E12" t="s">
        <v>104</v>
      </c>
    </row>
    <row r="13" spans="1:8" x14ac:dyDescent="0.25">
      <c r="B13">
        <f>F2/B11</f>
        <v>0.21986289131358011</v>
      </c>
      <c r="C13">
        <f>C11/C9</f>
        <v>0.6574294247619048</v>
      </c>
      <c r="D13">
        <f>D11/B11</f>
        <v>0.25866222507480008</v>
      </c>
      <c r="E13">
        <f>E11/C9</f>
        <v>0.77344638207282912</v>
      </c>
    </row>
    <row r="18" spans="1:6" x14ac:dyDescent="0.25">
      <c r="A18" t="s">
        <v>59</v>
      </c>
      <c r="B18" s="23" t="s">
        <v>73</v>
      </c>
      <c r="C18" s="23" t="s">
        <v>71</v>
      </c>
      <c r="D18" s="23" t="s">
        <v>72</v>
      </c>
      <c r="E18" s="23"/>
    </row>
    <row r="19" spans="1:6" x14ac:dyDescent="0.25">
      <c r="B19" s="23" t="s">
        <v>74</v>
      </c>
      <c r="C19" s="23" t="s">
        <v>54</v>
      </c>
      <c r="D19" s="23" t="s">
        <v>53</v>
      </c>
      <c r="E19" s="23"/>
      <c r="F19" s="21"/>
    </row>
    <row r="20" spans="1:6" x14ac:dyDescent="0.25">
      <c r="B20" s="33">
        <f>IF(D2="Fuel",0,D13)</f>
        <v>0.25866222507480008</v>
      </c>
      <c r="C20" s="33">
        <f>IF(D2="Fuel",C13,E13)</f>
        <v>0.77344638207282912</v>
      </c>
      <c r="D20" s="33">
        <f>IF(D2="Fuel",B13,0)</f>
        <v>0</v>
      </c>
      <c r="E20" s="33"/>
      <c r="F20" s="3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Tables!$J$34:$J$36</xm:f>
          </x14:formula1>
          <xm:sqref>C2</xm:sqref>
        </x14:dataValidation>
        <x14:dataValidation type="list" allowBlank="1" showInputMessage="1" showErrorMessage="1">
          <x14:formula1>
            <xm:f>Tables!$A$37:$A$38</xm:f>
          </x14:formula1>
          <xm:sqref>D2</xm:sqref>
        </x14:dataValidation>
        <x14:dataValidation type="list" allowBlank="1" showInputMessage="1" showErrorMessage="1">
          <x14:formula1>
            <xm:f>Tables!$A$3:$A$26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>
      <selection activeCell="I24" sqref="I24"/>
    </sheetView>
  </sheetViews>
  <sheetFormatPr defaultRowHeight="15" x14ac:dyDescent="0.25"/>
  <cols>
    <col min="1" max="1" width="22.140625" customWidth="1"/>
    <col min="2" max="2" width="10.28515625" bestFit="1" customWidth="1"/>
    <col min="3" max="3" width="8.42578125" bestFit="1" customWidth="1"/>
    <col min="4" max="4" width="12.7109375" customWidth="1"/>
    <col min="6" max="6" width="12" bestFit="1" customWidth="1"/>
    <col min="7" max="7" width="6.5703125" customWidth="1"/>
    <col min="9" max="9" width="17.140625" customWidth="1"/>
    <col min="11" max="11" width="6.7109375" customWidth="1"/>
    <col min="18" max="18" width="20" bestFit="1" customWidth="1"/>
  </cols>
  <sheetData>
    <row r="1" spans="1:9" ht="15.75" thickTop="1" x14ac:dyDescent="0.25">
      <c r="A1" s="41" t="s">
        <v>0</v>
      </c>
      <c r="B1" s="42" t="s">
        <v>29</v>
      </c>
      <c r="C1" s="43" t="s">
        <v>15</v>
      </c>
      <c r="D1" s="44"/>
      <c r="E1" s="43" t="s">
        <v>16</v>
      </c>
      <c r="F1" s="44"/>
      <c r="G1" s="43" t="s">
        <v>17</v>
      </c>
      <c r="H1" s="44"/>
      <c r="I1" s="45" t="s">
        <v>105</v>
      </c>
    </row>
    <row r="2" spans="1:9" ht="15.75" thickBot="1" x14ac:dyDescent="0.3">
      <c r="A2" s="46"/>
      <c r="B2" s="6"/>
      <c r="C2" s="37" t="s">
        <v>18</v>
      </c>
      <c r="D2" s="38" t="s">
        <v>41</v>
      </c>
      <c r="E2" s="37" t="s">
        <v>18</v>
      </c>
      <c r="F2" s="38" t="s">
        <v>41</v>
      </c>
      <c r="G2" s="37" t="s">
        <v>18</v>
      </c>
      <c r="H2" s="38" t="s">
        <v>41</v>
      </c>
      <c r="I2" s="47" t="s">
        <v>106</v>
      </c>
    </row>
    <row r="3" spans="1:9" x14ac:dyDescent="0.25">
      <c r="A3" s="48" t="s">
        <v>1</v>
      </c>
      <c r="B3" s="35" t="s">
        <v>30</v>
      </c>
      <c r="C3" s="8">
        <v>0.4</v>
      </c>
      <c r="D3" s="1">
        <v>0.77869999999999995</v>
      </c>
      <c r="E3" s="10">
        <v>0.6</v>
      </c>
      <c r="F3" s="1">
        <v>1</v>
      </c>
      <c r="G3" s="10">
        <v>0</v>
      </c>
      <c r="H3" s="11">
        <v>99</v>
      </c>
      <c r="I3" s="49">
        <f>1/(C3/D3+E3/F3+G3/H3)</f>
        <v>0.89792670833237231</v>
      </c>
    </row>
    <row r="4" spans="1:9" x14ac:dyDescent="0.25">
      <c r="A4" s="48" t="s">
        <v>2</v>
      </c>
      <c r="B4" s="35" t="s">
        <v>30</v>
      </c>
      <c r="C4" s="8">
        <v>0.3</v>
      </c>
      <c r="D4" s="1">
        <v>0.77869999999999995</v>
      </c>
      <c r="E4" s="10">
        <v>0.7</v>
      </c>
      <c r="F4" s="1">
        <v>1</v>
      </c>
      <c r="G4" s="10">
        <v>0</v>
      </c>
      <c r="H4" s="11">
        <v>99</v>
      </c>
      <c r="I4" s="49">
        <f t="shared" ref="I4:I27" si="0">1/(C4/D4+E4/F4+G4/H4)</f>
        <v>0.92144031996592091</v>
      </c>
    </row>
    <row r="5" spans="1:9" x14ac:dyDescent="0.25">
      <c r="A5" s="48" t="s">
        <v>25</v>
      </c>
      <c r="B5" s="35" t="s">
        <v>30</v>
      </c>
      <c r="C5" s="8">
        <v>0.45</v>
      </c>
      <c r="D5" s="1">
        <v>0.77869999999999995</v>
      </c>
      <c r="E5" s="10">
        <v>0.55000000000000004</v>
      </c>
      <c r="F5" s="1">
        <v>1</v>
      </c>
      <c r="G5" s="10">
        <v>0</v>
      </c>
      <c r="H5" s="11">
        <v>99</v>
      </c>
      <c r="I5" s="49">
        <f t="shared" si="0"/>
        <v>0.88661425391530069</v>
      </c>
    </row>
    <row r="6" spans="1:9" x14ac:dyDescent="0.25">
      <c r="A6" s="48" t="s">
        <v>3</v>
      </c>
      <c r="B6" s="35" t="s">
        <v>30</v>
      </c>
      <c r="C6" s="8">
        <v>0.5</v>
      </c>
      <c r="D6" s="11">
        <v>0.60619999999999996</v>
      </c>
      <c r="E6" s="10">
        <v>0.5</v>
      </c>
      <c r="F6" s="1">
        <v>1</v>
      </c>
      <c r="G6" s="10">
        <v>0</v>
      </c>
      <c r="H6" s="11">
        <v>99</v>
      </c>
      <c r="I6" s="49">
        <f t="shared" si="0"/>
        <v>0.75482505291993518</v>
      </c>
    </row>
    <row r="7" spans="1:9" x14ac:dyDescent="0.25">
      <c r="A7" s="48" t="s">
        <v>24</v>
      </c>
      <c r="B7" s="35" t="s">
        <v>30</v>
      </c>
      <c r="C7" s="8">
        <v>0.3</v>
      </c>
      <c r="D7" s="11">
        <v>0.60619999999999996</v>
      </c>
      <c r="E7" s="10">
        <v>0.7</v>
      </c>
      <c r="F7" s="1">
        <v>1</v>
      </c>
      <c r="G7" s="10">
        <v>0</v>
      </c>
      <c r="H7" s="11">
        <v>99</v>
      </c>
      <c r="I7" s="49">
        <f t="shared" si="0"/>
        <v>0.83689979843719808</v>
      </c>
    </row>
    <row r="8" spans="1:9" x14ac:dyDescent="0.25">
      <c r="A8" s="48" t="s">
        <v>4</v>
      </c>
      <c r="B8" s="35" t="s">
        <v>30</v>
      </c>
      <c r="C8" s="10">
        <v>1</v>
      </c>
      <c r="D8" s="11">
        <v>0.60619999999999996</v>
      </c>
      <c r="E8" s="10">
        <v>0</v>
      </c>
      <c r="F8" s="36">
        <v>99</v>
      </c>
      <c r="G8" s="10">
        <v>0</v>
      </c>
      <c r="H8" s="11">
        <v>99</v>
      </c>
      <c r="I8" s="49">
        <f t="shared" si="0"/>
        <v>0.60619999999999996</v>
      </c>
    </row>
    <row r="9" spans="1:9" x14ac:dyDescent="0.25">
      <c r="A9" s="48" t="s">
        <v>5</v>
      </c>
      <c r="B9" s="35" t="s">
        <v>30</v>
      </c>
      <c r="C9" s="10">
        <v>1</v>
      </c>
      <c r="D9" s="1">
        <v>0.77869999999999995</v>
      </c>
      <c r="E9" s="10">
        <v>0</v>
      </c>
      <c r="F9" s="11">
        <v>99</v>
      </c>
      <c r="G9" s="10">
        <v>0</v>
      </c>
      <c r="H9" s="11">
        <v>99</v>
      </c>
      <c r="I9" s="49">
        <f t="shared" si="0"/>
        <v>0.77869999999999995</v>
      </c>
    </row>
    <row r="10" spans="1:9" x14ac:dyDescent="0.25">
      <c r="A10" s="48" t="s">
        <v>6</v>
      </c>
      <c r="B10" s="35" t="s">
        <v>30</v>
      </c>
      <c r="C10" s="10">
        <v>0.55600000000000005</v>
      </c>
      <c r="D10" s="11">
        <v>1.0038</v>
      </c>
      <c r="E10" s="10">
        <v>0.44400000000000001</v>
      </c>
      <c r="F10" s="1">
        <v>0.77869999999999995</v>
      </c>
      <c r="G10" s="10">
        <v>0</v>
      </c>
      <c r="H10" s="11">
        <v>99</v>
      </c>
      <c r="I10" s="49">
        <f t="shared" si="0"/>
        <v>0.88961934998959769</v>
      </c>
    </row>
    <row r="11" spans="1:9" x14ac:dyDescent="0.25">
      <c r="A11" s="48" t="s">
        <v>7</v>
      </c>
      <c r="B11" s="35" t="s">
        <v>30</v>
      </c>
      <c r="C11" s="10">
        <v>0.44400000000000001</v>
      </c>
      <c r="D11" s="11">
        <v>1.0038</v>
      </c>
      <c r="E11" s="10">
        <v>0.55600000000000005</v>
      </c>
      <c r="F11" s="1">
        <v>0.77869999999999995</v>
      </c>
      <c r="G11" s="10">
        <v>0</v>
      </c>
      <c r="H11" s="11">
        <v>99</v>
      </c>
      <c r="I11" s="49">
        <f t="shared" si="0"/>
        <v>0.86480524101416201</v>
      </c>
    </row>
    <row r="12" spans="1:9" x14ac:dyDescent="0.25">
      <c r="A12" s="48" t="s">
        <v>8</v>
      </c>
      <c r="B12" s="35" t="s">
        <v>30</v>
      </c>
      <c r="C12" s="10">
        <v>0.66700000000000004</v>
      </c>
      <c r="D12" s="11">
        <v>1.0038</v>
      </c>
      <c r="E12" s="10">
        <v>0.33300000000000002</v>
      </c>
      <c r="F12" s="1">
        <v>0.77869999999999995</v>
      </c>
      <c r="G12" s="10">
        <v>0</v>
      </c>
      <c r="H12" s="11">
        <v>99</v>
      </c>
      <c r="I12" s="49">
        <f t="shared" si="0"/>
        <v>0.91565800976807699</v>
      </c>
    </row>
    <row r="13" spans="1:9" x14ac:dyDescent="0.25">
      <c r="A13" s="48" t="s">
        <v>9</v>
      </c>
      <c r="B13" s="35" t="s">
        <v>30</v>
      </c>
      <c r="C13" s="10">
        <v>1</v>
      </c>
      <c r="D13" s="11">
        <v>1.0038</v>
      </c>
      <c r="E13" s="10">
        <v>0</v>
      </c>
      <c r="F13" s="11">
        <v>99</v>
      </c>
      <c r="G13" s="10">
        <v>0</v>
      </c>
      <c r="H13" s="11">
        <v>99</v>
      </c>
      <c r="I13" s="49">
        <f t="shared" si="0"/>
        <v>1.0038</v>
      </c>
    </row>
    <row r="14" spans="1:9" x14ac:dyDescent="0.25">
      <c r="A14" s="48" t="s">
        <v>10</v>
      </c>
      <c r="B14" s="35" t="s">
        <v>30</v>
      </c>
      <c r="C14" s="10">
        <v>0.25</v>
      </c>
      <c r="D14" s="11">
        <v>1.0038</v>
      </c>
      <c r="E14" s="10">
        <v>0.2</v>
      </c>
      <c r="F14" s="1">
        <v>0.77869999999999995</v>
      </c>
      <c r="G14" s="10">
        <v>0.55000000000000004</v>
      </c>
      <c r="H14" s="11">
        <v>99</v>
      </c>
      <c r="I14" s="49">
        <f t="shared" si="0"/>
        <v>1.9552350034369237</v>
      </c>
    </row>
    <row r="15" spans="1:9" x14ac:dyDescent="0.25">
      <c r="A15" s="48" t="s">
        <v>11</v>
      </c>
      <c r="B15" s="35" t="s">
        <v>30</v>
      </c>
      <c r="C15" s="10">
        <v>0.2</v>
      </c>
      <c r="D15" s="11">
        <v>1.0038</v>
      </c>
      <c r="E15" s="10">
        <v>0.25</v>
      </c>
      <c r="F15" s="1">
        <v>0.77869999999999995</v>
      </c>
      <c r="G15" s="10">
        <v>0.55000000000000004</v>
      </c>
      <c r="H15" s="11">
        <v>99</v>
      </c>
      <c r="I15" s="49">
        <f t="shared" si="0"/>
        <v>1.9016962509808559</v>
      </c>
    </row>
    <row r="16" spans="1:9" x14ac:dyDescent="0.25">
      <c r="A16" s="48" t="s">
        <v>12</v>
      </c>
      <c r="B16" s="35" t="s">
        <v>30</v>
      </c>
      <c r="C16" s="10">
        <v>0.3</v>
      </c>
      <c r="D16" s="11">
        <v>1.0038</v>
      </c>
      <c r="E16" s="10">
        <v>0.15</v>
      </c>
      <c r="F16" s="1">
        <v>0.77869999999999995</v>
      </c>
      <c r="G16" s="10">
        <v>0.55000000000000004</v>
      </c>
      <c r="H16" s="11">
        <v>99</v>
      </c>
      <c r="I16" s="49">
        <f t="shared" si="0"/>
        <v>2.0118756538825733</v>
      </c>
    </row>
    <row r="17" spans="1:23" x14ac:dyDescent="0.25">
      <c r="A17" s="48" t="s">
        <v>13</v>
      </c>
      <c r="B17" s="35" t="s">
        <v>30</v>
      </c>
      <c r="C17" s="10">
        <v>0.45</v>
      </c>
      <c r="D17" s="11">
        <v>1.0038</v>
      </c>
      <c r="E17" s="10">
        <v>0.55000000000000004</v>
      </c>
      <c r="F17" s="11">
        <v>1.4005000000000001</v>
      </c>
      <c r="G17" s="10">
        <v>0</v>
      </c>
      <c r="H17" s="11">
        <v>99</v>
      </c>
      <c r="I17" s="49">
        <f t="shared" si="0"/>
        <v>1.1890417528323671</v>
      </c>
    </row>
    <row r="18" spans="1:23" x14ac:dyDescent="0.25">
      <c r="A18" s="48" t="s">
        <v>14</v>
      </c>
      <c r="B18" s="35" t="s">
        <v>30</v>
      </c>
      <c r="C18" s="10">
        <v>0.45</v>
      </c>
      <c r="D18" s="1">
        <v>0.77869999999999995</v>
      </c>
      <c r="E18" s="10">
        <v>0.55000000000000004</v>
      </c>
      <c r="F18" s="11">
        <v>1.4005000000000001</v>
      </c>
      <c r="G18" s="10">
        <v>0</v>
      </c>
      <c r="H18" s="11">
        <v>99</v>
      </c>
      <c r="I18" s="49">
        <f t="shared" si="0"/>
        <v>1.0302872433892922</v>
      </c>
    </row>
    <row r="19" spans="1:23" x14ac:dyDescent="0.25">
      <c r="A19" s="48" t="s">
        <v>26</v>
      </c>
      <c r="B19" s="35" t="s">
        <v>30</v>
      </c>
      <c r="C19" s="10">
        <v>0.2</v>
      </c>
      <c r="D19" s="11">
        <v>0.60619999999999996</v>
      </c>
      <c r="E19" s="10">
        <v>0.8</v>
      </c>
      <c r="F19" s="11">
        <v>1.4005000000000001</v>
      </c>
      <c r="G19" s="10">
        <v>0</v>
      </c>
      <c r="H19" s="11">
        <v>99</v>
      </c>
      <c r="I19" s="49">
        <f t="shared" si="0"/>
        <v>1.1096947951794629</v>
      </c>
    </row>
    <row r="20" spans="1:23" x14ac:dyDescent="0.25">
      <c r="A20" s="48" t="s">
        <v>27</v>
      </c>
      <c r="B20" s="35" t="s">
        <v>30</v>
      </c>
      <c r="C20" s="10">
        <v>0.25</v>
      </c>
      <c r="D20" s="11">
        <v>0.60619999999999996</v>
      </c>
      <c r="E20" s="10">
        <v>0.75</v>
      </c>
      <c r="F20" s="11">
        <v>1.4005000000000001</v>
      </c>
      <c r="G20" s="10">
        <v>0</v>
      </c>
      <c r="H20" s="11">
        <v>99</v>
      </c>
      <c r="I20" s="49">
        <f t="shared" si="0"/>
        <v>1.054932248143891</v>
      </c>
    </row>
    <row r="21" spans="1:23" x14ac:dyDescent="0.25">
      <c r="A21" s="48" t="s">
        <v>28</v>
      </c>
      <c r="B21" s="35" t="s">
        <v>30</v>
      </c>
      <c r="C21" s="8">
        <v>0.3</v>
      </c>
      <c r="D21" s="11">
        <v>0.60619999999999996</v>
      </c>
      <c r="E21" s="10">
        <v>0.7</v>
      </c>
      <c r="F21" s="11">
        <v>1.4005000000000001</v>
      </c>
      <c r="G21" s="10">
        <v>0</v>
      </c>
      <c r="H21" s="11">
        <v>99</v>
      </c>
      <c r="I21" s="49">
        <f t="shared" si="0"/>
        <v>1.0053204892893937</v>
      </c>
    </row>
    <row r="22" spans="1:23" x14ac:dyDescent="0.25">
      <c r="A22" s="50" t="s">
        <v>21</v>
      </c>
      <c r="B22" s="39" t="s">
        <v>31</v>
      </c>
      <c r="C22" s="17">
        <v>0.21</v>
      </c>
      <c r="D22" s="12">
        <v>0.97789999999999999</v>
      </c>
      <c r="E22" s="17">
        <v>0.79</v>
      </c>
      <c r="F22" s="12">
        <v>1</v>
      </c>
      <c r="G22" s="17">
        <v>0</v>
      </c>
      <c r="H22" s="18">
        <v>99</v>
      </c>
      <c r="I22" s="51">
        <f t="shared" si="0"/>
        <v>0.99527653298946295</v>
      </c>
    </row>
    <row r="23" spans="1:23" x14ac:dyDescent="0.25">
      <c r="A23" s="48" t="s">
        <v>23</v>
      </c>
      <c r="B23" s="35" t="s">
        <v>31</v>
      </c>
      <c r="C23" s="10">
        <v>0.3</v>
      </c>
      <c r="D23" s="1">
        <v>0.97789999999999999</v>
      </c>
      <c r="E23" s="10">
        <v>0.7</v>
      </c>
      <c r="F23" s="1">
        <v>1</v>
      </c>
      <c r="G23" s="10">
        <v>0</v>
      </c>
      <c r="H23" s="11">
        <v>99</v>
      </c>
      <c r="I23" s="49">
        <f t="shared" si="0"/>
        <v>0.99326582227052507</v>
      </c>
    </row>
    <row r="24" spans="1:23" x14ac:dyDescent="0.25">
      <c r="A24" s="48" t="s">
        <v>22</v>
      </c>
      <c r="B24" s="35" t="s">
        <v>31</v>
      </c>
      <c r="C24" s="10">
        <v>0.85</v>
      </c>
      <c r="D24" s="1">
        <v>0.97789999999999999</v>
      </c>
      <c r="E24" s="10">
        <v>0.15</v>
      </c>
      <c r="F24" s="1">
        <v>1</v>
      </c>
      <c r="G24" s="10">
        <v>0</v>
      </c>
      <c r="H24" s="11">
        <v>99</v>
      </c>
      <c r="I24" s="49">
        <f t="shared" si="0"/>
        <v>0.98115252060580838</v>
      </c>
    </row>
    <row r="25" spans="1:23" x14ac:dyDescent="0.25">
      <c r="A25" s="48" t="s">
        <v>32</v>
      </c>
      <c r="B25" s="35" t="s">
        <v>31</v>
      </c>
      <c r="C25" s="10">
        <v>0.4</v>
      </c>
      <c r="D25" s="1">
        <v>0.97789999999999999</v>
      </c>
      <c r="E25" s="10">
        <v>0.6</v>
      </c>
      <c r="F25" s="1">
        <v>1</v>
      </c>
      <c r="G25" s="10">
        <v>0</v>
      </c>
      <c r="H25" s="11">
        <v>99</v>
      </c>
      <c r="I25" s="49">
        <f t="shared" si="0"/>
        <v>0.99104120639682181</v>
      </c>
    </row>
    <row r="26" spans="1:23" x14ac:dyDescent="0.25">
      <c r="A26" s="52" t="s">
        <v>33</v>
      </c>
      <c r="B26" s="40" t="s">
        <v>31</v>
      </c>
      <c r="C26" s="15">
        <v>0.3</v>
      </c>
      <c r="D26" s="14">
        <v>0.97789999999999999</v>
      </c>
      <c r="E26" s="13">
        <v>0.7</v>
      </c>
      <c r="F26" s="16">
        <v>1.4005000000000001</v>
      </c>
      <c r="G26" s="15">
        <v>0</v>
      </c>
      <c r="H26" s="16">
        <v>99</v>
      </c>
      <c r="I26" s="53">
        <f t="shared" si="0"/>
        <v>1.2397698428504182</v>
      </c>
    </row>
    <row r="27" spans="1:23" ht="15.75" thickBot="1" x14ac:dyDescent="0.3">
      <c r="A27" s="54" t="s">
        <v>35</v>
      </c>
      <c r="B27" s="55" t="s">
        <v>34</v>
      </c>
      <c r="C27" s="56">
        <v>1</v>
      </c>
      <c r="D27" s="57">
        <v>1.4005000000000001</v>
      </c>
      <c r="E27" s="58">
        <v>0</v>
      </c>
      <c r="F27" s="59">
        <v>99</v>
      </c>
      <c r="G27" s="58">
        <v>0</v>
      </c>
      <c r="H27" s="59">
        <v>99</v>
      </c>
      <c r="I27" s="60">
        <f t="shared" si="0"/>
        <v>1.4005000000000001</v>
      </c>
    </row>
    <row r="28" spans="1:23" ht="15.75" thickTop="1" x14ac:dyDescent="0.25">
      <c r="A28" s="34" t="s">
        <v>107</v>
      </c>
    </row>
    <row r="29" spans="1:23" ht="15.75" thickBot="1" x14ac:dyDescent="0.3"/>
    <row r="30" spans="1:23" x14ac:dyDescent="0.25">
      <c r="A30" t="s">
        <v>36</v>
      </c>
      <c r="B30">
        <v>25</v>
      </c>
      <c r="D30" s="25" t="s">
        <v>68</v>
      </c>
      <c r="E30" s="2"/>
      <c r="F30" s="2"/>
      <c r="G30" s="2"/>
      <c r="H30" s="3"/>
      <c r="J30" s="25" t="s">
        <v>70</v>
      </c>
      <c r="K30" s="2"/>
      <c r="L30" s="2"/>
      <c r="M30" s="3"/>
      <c r="O30" s="27" t="s">
        <v>89</v>
      </c>
    </row>
    <row r="31" spans="1:23" x14ac:dyDescent="0.25">
      <c r="A31" t="s">
        <v>37</v>
      </c>
      <c r="B31">
        <f>(273.15/(273.15+B30))</f>
        <v>0.91614958913298672</v>
      </c>
      <c r="D31" s="7" t="s">
        <v>47</v>
      </c>
      <c r="E31" s="8"/>
      <c r="F31" s="8"/>
      <c r="G31" s="8"/>
      <c r="H31" s="9"/>
      <c r="J31" s="7" t="s">
        <v>61</v>
      </c>
      <c r="K31" s="8"/>
      <c r="L31" s="8"/>
      <c r="M31" s="9"/>
    </row>
    <row r="32" spans="1:23" x14ac:dyDescent="0.25">
      <c r="A32" t="s">
        <v>38</v>
      </c>
      <c r="B32">
        <v>60</v>
      </c>
      <c r="D32" s="7" t="s">
        <v>69</v>
      </c>
      <c r="E32" s="8"/>
      <c r="F32" s="8"/>
      <c r="G32" s="8"/>
      <c r="H32" s="9"/>
      <c r="J32" s="7" t="s">
        <v>63</v>
      </c>
      <c r="K32" s="8"/>
      <c r="L32" s="8"/>
      <c r="M32" s="9"/>
      <c r="O32" s="28" t="s">
        <v>90</v>
      </c>
      <c r="P32" s="28"/>
      <c r="Q32" s="28"/>
      <c r="R32" s="28"/>
      <c r="S32" s="28"/>
      <c r="T32" s="28"/>
      <c r="U32" s="29"/>
      <c r="V32" s="29"/>
      <c r="W32" s="29"/>
    </row>
    <row r="33" spans="1:23" x14ac:dyDescent="0.25">
      <c r="A33" t="s">
        <v>39</v>
      </c>
      <c r="B33">
        <v>1000</v>
      </c>
      <c r="D33" s="7" t="s">
        <v>62</v>
      </c>
      <c r="E33" s="8"/>
      <c r="F33" s="8"/>
      <c r="G33" s="8"/>
      <c r="H33" s="9"/>
      <c r="J33" s="26" t="s">
        <v>79</v>
      </c>
      <c r="K33" s="8"/>
      <c r="L33" s="8"/>
      <c r="M33" s="9"/>
      <c r="O33" s="29"/>
      <c r="P33" s="30" t="s">
        <v>91</v>
      </c>
      <c r="Q33" s="29"/>
      <c r="R33" s="29"/>
      <c r="S33" s="29"/>
      <c r="T33" s="29"/>
      <c r="U33" s="29"/>
      <c r="V33" s="29"/>
      <c r="W33" s="29"/>
    </row>
    <row r="34" spans="1:23" x14ac:dyDescent="0.25">
      <c r="A34" t="s">
        <v>40</v>
      </c>
      <c r="B34">
        <v>10000</v>
      </c>
      <c r="D34" s="26" t="s">
        <v>78</v>
      </c>
      <c r="E34" s="8"/>
      <c r="F34" s="8"/>
      <c r="G34" s="8"/>
      <c r="H34" s="9"/>
      <c r="J34" s="7" t="s">
        <v>45</v>
      </c>
      <c r="K34" s="8"/>
      <c r="L34" s="8"/>
      <c r="M34" s="9">
        <v>1</v>
      </c>
    </row>
    <row r="35" spans="1:23" x14ac:dyDescent="0.25">
      <c r="D35" s="7" t="s">
        <v>45</v>
      </c>
      <c r="E35" s="8"/>
      <c r="F35" s="8">
        <v>1</v>
      </c>
      <c r="G35" s="8"/>
      <c r="H35" s="9">
        <v>0</v>
      </c>
      <c r="J35" s="7" t="s">
        <v>46</v>
      </c>
      <c r="K35" s="8"/>
      <c r="L35" s="8"/>
      <c r="M35" s="9">
        <v>1</v>
      </c>
    </row>
    <row r="36" spans="1:23" x14ac:dyDescent="0.25">
      <c r="D36" s="7" t="s">
        <v>46</v>
      </c>
      <c r="E36" s="8"/>
      <c r="F36" s="8">
        <v>1</v>
      </c>
      <c r="G36" s="8"/>
      <c r="H36" s="9">
        <v>0</v>
      </c>
      <c r="J36" s="7" t="s">
        <v>44</v>
      </c>
      <c r="K36" s="8"/>
      <c r="L36" s="8"/>
      <c r="M36" s="9">
        <v>1</v>
      </c>
    </row>
    <row r="37" spans="1:23" x14ac:dyDescent="0.25">
      <c r="A37" t="s">
        <v>94</v>
      </c>
      <c r="D37" s="7" t="s">
        <v>44</v>
      </c>
      <c r="E37" s="8"/>
      <c r="F37" s="8">
        <v>1</v>
      </c>
      <c r="G37" s="8"/>
      <c r="H37" s="9">
        <v>0</v>
      </c>
      <c r="J37" s="7" t="s">
        <v>49</v>
      </c>
      <c r="K37" s="8"/>
      <c r="L37" s="8"/>
      <c r="M37" s="9">
        <f>PI()/4*((25*0.001)^2)</f>
        <v>4.9087385212340522E-4</v>
      </c>
    </row>
    <row r="38" spans="1:23" ht="15.75" thickBot="1" x14ac:dyDescent="0.3">
      <c r="A38" t="s">
        <v>95</v>
      </c>
      <c r="D38" s="7" t="s">
        <v>47</v>
      </c>
      <c r="E38" s="8" t="s">
        <v>80</v>
      </c>
      <c r="F38" s="19">
        <f>PI()/4*((0.085*0.0254)^2)</f>
        <v>3.6609615364794206E-6</v>
      </c>
      <c r="G38" s="8" t="s">
        <v>51</v>
      </c>
      <c r="H38" s="9">
        <f>((PI()/4*((0.984*0.0254)^2))-((PI()/4*((0.095*0.0254)^2))))</f>
        <v>4.8604952188217176E-4</v>
      </c>
      <c r="J38" s="4" t="s">
        <v>50</v>
      </c>
      <c r="K38" s="5"/>
      <c r="L38" s="5"/>
      <c r="M38" s="6">
        <f>PI()/4*((50*0.001)^2)</f>
        <v>1.9634954084936209E-3</v>
      </c>
    </row>
    <row r="39" spans="1:23" x14ac:dyDescent="0.25">
      <c r="D39" s="7" t="s">
        <v>43</v>
      </c>
      <c r="E39" s="8"/>
      <c r="F39" s="8">
        <f>PI()/4*((1.3*0.001)^2)</f>
        <v>1.3273228961416879E-6</v>
      </c>
      <c r="G39" s="8"/>
      <c r="H39" s="9">
        <v>0</v>
      </c>
    </row>
    <row r="40" spans="1:23" ht="15.75" thickBot="1" x14ac:dyDescent="0.3">
      <c r="D40" s="4" t="s">
        <v>48</v>
      </c>
      <c r="E40" s="5"/>
      <c r="F40" s="5">
        <f>PI()/4*((2.1*0.001)^2)</f>
        <v>3.4636059005827476E-6</v>
      </c>
      <c r="G40" s="5"/>
      <c r="H40" s="6">
        <v>0</v>
      </c>
    </row>
  </sheetData>
  <hyperlinks>
    <hyperlink ref="P3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CLD Flame, E-Field, S-Flame</vt:lpstr>
      <vt:lpstr>BRE</vt:lpstr>
      <vt:lpstr>Flame Design</vt:lpstr>
      <vt:lpstr>Tables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Eggers, Jeffrey C.</dc:creator>
  <cp:lastModifiedBy>Eggers, Jeffrey C.</cp:lastModifiedBy>
  <dcterms:created xsi:type="dcterms:W3CDTF">2017-05-04T13:00:55Z</dcterms:created>
  <dcterms:modified xsi:type="dcterms:W3CDTF">2017-05-08T14:54:36Z</dcterms:modified>
</cp:coreProperties>
</file>